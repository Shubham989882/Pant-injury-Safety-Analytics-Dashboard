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dmin\Downloads\EXCEL_PRACTICE_DATA\"/>
    </mc:Choice>
  </mc:AlternateContent>
  <xr:revisionPtr revIDLastSave="0" documentId="13_ncr:1_{5DD3D8F9-DF3E-43B9-99F2-8B79104B38DA}" xr6:coauthVersionLast="47" xr6:coauthVersionMax="47" xr10:uidLastSave="{00000000-0000-0000-0000-000000000000}"/>
  <bookViews>
    <workbookView xWindow="-120" yWindow="-120" windowWidth="21840" windowHeight="13140" activeTab="3" xr2:uid="{00000000-000D-0000-FFFF-FFFF00000000}"/>
  </bookViews>
  <sheets>
    <sheet name="SafetyData" sheetId="1" r:id="rId1"/>
    <sheet name="PIVOT" sheetId="2" r:id="rId2"/>
    <sheet name="SLICERS" sheetId="4" r:id="rId3"/>
    <sheet name="DASHBOARD" sheetId="3" r:id="rId4"/>
    <sheet name="Working Data" sheetId="5" r:id="rId5"/>
  </sheets>
  <definedNames>
    <definedName name="Slicer_Department">#N/A</definedName>
    <definedName name="Slicer_Gender">#N/A</definedName>
    <definedName name="Slicer_Incident_Type">#N/A</definedName>
    <definedName name="Slicer_Injury_Location">#N/A</definedName>
    <definedName name="Slicer_Plant">#N/A</definedName>
    <definedName name="Slicer_Report_Type">#N/A</definedName>
    <definedName name="Slicer_Shift">#N/A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1" i="1" l="1"/>
  <c r="F519" i="1"/>
  <c r="B43" i="2"/>
  <c r="AA6" i="3"/>
  <c r="AA7" i="3"/>
  <c r="AA8" i="3" l="1"/>
  <c r="L516" i="1"/>
  <c r="C519" i="1" s="1"/>
  <c r="C521" i="1" s="1"/>
  <c r="A516" i="1"/>
  <c r="C520" i="1" s="1"/>
</calcChain>
</file>

<file path=xl/sharedStrings.xml><?xml version="1.0" encoding="utf-8"?>
<sst xmlns="http://schemas.openxmlformats.org/spreadsheetml/2006/main" count="9434" uniqueCount="96">
  <si>
    <t>S.No</t>
  </si>
  <si>
    <t>Date</t>
  </si>
  <si>
    <t>Injury Location</t>
  </si>
  <si>
    <t>Gender</t>
  </si>
  <si>
    <t>Age</t>
  </si>
  <si>
    <t>Incident Type</t>
  </si>
  <si>
    <t>Days Lost</t>
  </si>
  <si>
    <t>Plant</t>
  </si>
  <si>
    <t>Report Type</t>
  </si>
  <si>
    <t>Shift</t>
  </si>
  <si>
    <t>Department</t>
  </si>
  <si>
    <t>Incident Cost</t>
  </si>
  <si>
    <t>Year</t>
  </si>
  <si>
    <t>Multiple</t>
  </si>
  <si>
    <t>Male</t>
  </si>
  <si>
    <t>36-45</t>
  </si>
  <si>
    <t>Burn</t>
  </si>
  <si>
    <t>Bangalore</t>
  </si>
  <si>
    <t>Near Miss</t>
  </si>
  <si>
    <t>Afternoon</t>
  </si>
  <si>
    <t>Painting</t>
  </si>
  <si>
    <t>N/A</t>
  </si>
  <si>
    <t>56-65</t>
  </si>
  <si>
    <t>Vehicle</t>
  </si>
  <si>
    <t>Mumbai</t>
  </si>
  <si>
    <t>Lost Time</t>
  </si>
  <si>
    <t>Day</t>
  </si>
  <si>
    <t>Fabrication</t>
  </si>
  <si>
    <t>Eye</t>
  </si>
  <si>
    <t>Cut</t>
  </si>
  <si>
    <t>Chennai</t>
  </si>
  <si>
    <t>Administration</t>
  </si>
  <si>
    <t>Legs</t>
  </si>
  <si>
    <t>Female</t>
  </si>
  <si>
    <t>46-55</t>
  </si>
  <si>
    <t>Falling object</t>
  </si>
  <si>
    <t>Lifting</t>
  </si>
  <si>
    <t>Trivandrum</t>
  </si>
  <si>
    <t>Crush &amp; Pinch</t>
  </si>
  <si>
    <t>First Aid</t>
  </si>
  <si>
    <t>Security</t>
  </si>
  <si>
    <t>Neck</t>
  </si>
  <si>
    <t>18-25</t>
  </si>
  <si>
    <t>Purchasing</t>
  </si>
  <si>
    <t>Feet</t>
  </si>
  <si>
    <t>Delhi</t>
  </si>
  <si>
    <t>Night</t>
  </si>
  <si>
    <t>26-35</t>
  </si>
  <si>
    <t>Fall</t>
  </si>
  <si>
    <t>Jaipur</t>
  </si>
  <si>
    <t>Maintenance</t>
  </si>
  <si>
    <t>Arms</t>
  </si>
  <si>
    <t>Shipping</t>
  </si>
  <si>
    <t>Medical Claim</t>
  </si>
  <si>
    <t>Finishing</t>
  </si>
  <si>
    <t>Hyderabad</t>
  </si>
  <si>
    <t>Back</t>
  </si>
  <si>
    <t>Kolkata</t>
  </si>
  <si>
    <t>Hands</t>
  </si>
  <si>
    <t>Melting</t>
  </si>
  <si>
    <t>Bhopal</t>
  </si>
  <si>
    <t>Head</t>
  </si>
  <si>
    <t>Equipment</t>
  </si>
  <si>
    <t>Slip/trip</t>
  </si>
  <si>
    <t>Abdomen</t>
  </si>
  <si>
    <t>Trunk</t>
  </si>
  <si>
    <t>Grand Total</t>
  </si>
  <si>
    <t>Month</t>
  </si>
  <si>
    <t>Jan</t>
  </si>
  <si>
    <t>Feb</t>
  </si>
  <si>
    <t>Mar</t>
  </si>
  <si>
    <t>Apr</t>
  </si>
  <si>
    <t>May</t>
  </si>
  <si>
    <t>Jun</t>
  </si>
  <si>
    <t>Jul</t>
  </si>
  <si>
    <t>Aug</t>
  </si>
  <si>
    <t>Sep</t>
  </si>
  <si>
    <t>Oct</t>
  </si>
  <si>
    <t>Nov</t>
  </si>
  <si>
    <t>Dec</t>
  </si>
  <si>
    <t>Total Incidents</t>
  </si>
  <si>
    <t>Total Incident Cost</t>
  </si>
  <si>
    <t>Departments</t>
  </si>
  <si>
    <t>Total %_Incidents</t>
  </si>
  <si>
    <t>Total Days Lost</t>
  </si>
  <si>
    <t>Age Group</t>
  </si>
  <si>
    <t>AVERAGE COST / INCIDENT</t>
  </si>
  <si>
    <t>NEAR MISS %</t>
  </si>
  <si>
    <t>"Near Miss"</t>
  </si>
  <si>
    <t>CountRange</t>
  </si>
  <si>
    <t>27.04%</t>
  </si>
  <si>
    <t>Sum of S.No</t>
  </si>
  <si>
    <t>Column Labels</t>
  </si>
  <si>
    <t>Count of S.No</t>
  </si>
  <si>
    <t>Sum of Incident Cost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</si>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</sst>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4009]\ * #,##0.00_ ;_ [$₹-4009]\ * \-#,##0.00_ ;_ [$₹-4009]\ * &quot;-&quot;??_ ;_ @_ "/>
    <numFmt numFmtId="165" formatCode="[$-409]d\-mmm\-yy;@"/>
  </numFmts>
  <fonts count="9" x14ac:knownFonts="1">
    <font>
      <sz val="11"/>
      <color theme="1"/>
      <name val="Calibri"/>
      <family val="2"/>
      <scheme val="minor"/>
    </font>
    <font>
      <sz val="11"/>
      <color theme="1"/>
      <name val="Calibri"/>
      <family val="2"/>
      <scheme val="minor"/>
    </font>
    <font>
      <b/>
      <sz val="12"/>
      <name val="Calibri"/>
      <family val="2"/>
      <scheme val="minor"/>
    </font>
    <font>
      <sz val="12"/>
      <color theme="1"/>
      <name val="Calibri"/>
      <family val="2"/>
      <scheme val="minor"/>
    </font>
    <font>
      <sz val="12"/>
      <name val="Calibri"/>
      <family val="2"/>
      <scheme val="minor"/>
    </font>
    <font>
      <b/>
      <sz val="12"/>
      <color rgb="FFFF0000"/>
      <name val="Calibri"/>
      <family val="2"/>
      <scheme val="minor"/>
    </font>
    <font>
      <sz val="11"/>
      <color rgb="FFFF0000"/>
      <name val="Calibri"/>
      <family val="2"/>
      <scheme val="minor"/>
    </font>
    <font>
      <b/>
      <sz val="30"/>
      <color rgb="FFFF0000"/>
      <name val="Calibri"/>
      <family val="2"/>
      <scheme val="minor"/>
    </font>
    <font>
      <sz val="16"/>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2" fillId="0" borderId="1" xfId="0" applyFont="1" applyBorder="1" applyAlignment="1">
      <alignment vertical="top" wrapText="1"/>
    </xf>
    <xf numFmtId="0" fontId="2" fillId="0" borderId="1" xfId="0" applyFont="1" applyBorder="1" applyAlignment="1" applyProtection="1">
      <alignment vertical="top" wrapText="1"/>
      <protection locked="0"/>
    </xf>
    <xf numFmtId="0" fontId="2" fillId="0" borderId="1" xfId="0" applyFont="1" applyBorder="1" applyAlignment="1" applyProtection="1">
      <alignment horizontal="center" vertical="top" wrapText="1"/>
      <protection locked="0"/>
    </xf>
    <xf numFmtId="164" fontId="2" fillId="0" borderId="1" xfId="0" applyNumberFormat="1" applyFont="1" applyBorder="1" applyAlignment="1" applyProtection="1">
      <alignment vertical="top" wrapText="1"/>
      <protection locked="0"/>
    </xf>
    <xf numFmtId="0" fontId="3" fillId="0" borderId="0" xfId="0" applyFont="1"/>
    <xf numFmtId="1" fontId="3" fillId="0" borderId="1" xfId="0" applyNumberFormat="1" applyFont="1" applyBorder="1"/>
    <xf numFmtId="165" fontId="4" fillId="0" borderId="1" xfId="0" applyNumberFormat="1" applyFont="1" applyBorder="1"/>
    <xf numFmtId="0" fontId="4" fillId="0" borderId="1" xfId="0" applyFont="1" applyBorder="1"/>
    <xf numFmtId="0" fontId="4" fillId="0" borderId="1" xfId="0" applyFont="1" applyBorder="1" applyAlignment="1">
      <alignment horizontal="center"/>
    </xf>
    <xf numFmtId="164" fontId="4" fillId="0" borderId="1" xfId="0" applyNumberFormat="1" applyFont="1" applyBorder="1"/>
    <xf numFmtId="0" fontId="0" fillId="0" borderId="2" xfId="0" applyBorder="1"/>
    <xf numFmtId="165" fontId="4" fillId="0" borderId="0" xfId="0" applyNumberFormat="1" applyFont="1"/>
    <xf numFmtId="0" fontId="4" fillId="0" borderId="0" xfId="0" applyFont="1"/>
    <xf numFmtId="164" fontId="4" fillId="0" borderId="0" xfId="0" applyNumberFormat="1" applyFont="1"/>
    <xf numFmtId="0" fontId="0" fillId="0" borderId="0" xfId="0" pivotButton="1"/>
    <xf numFmtId="2" fontId="2" fillId="0" borderId="1" xfId="0" applyNumberFormat="1" applyFont="1" applyBorder="1" applyAlignment="1" applyProtection="1">
      <alignment horizontal="right" vertical="top" wrapText="1"/>
      <protection locked="0"/>
    </xf>
    <xf numFmtId="0" fontId="4" fillId="0" borderId="1" xfId="0" applyFont="1" applyBorder="1" applyAlignment="1">
      <alignment horizontal="right"/>
    </xf>
    <xf numFmtId="2" fontId="4" fillId="0" borderId="0" xfId="0" applyNumberFormat="1" applyFont="1" applyAlignment="1">
      <alignment horizontal="right"/>
    </xf>
    <xf numFmtId="2" fontId="3" fillId="0" borderId="0" xfId="0" applyNumberFormat="1" applyFont="1" applyAlignment="1">
      <alignment horizontal="right"/>
    </xf>
    <xf numFmtId="0" fontId="0" fillId="0" borderId="0" xfId="0" applyAlignment="1">
      <alignment horizontal="left"/>
    </xf>
    <xf numFmtId="164" fontId="0" fillId="0" borderId="0" xfId="1" applyNumberFormat="1" applyFont="1"/>
    <xf numFmtId="0" fontId="0" fillId="2" borderId="0" xfId="0" applyFill="1"/>
    <xf numFmtId="10" fontId="0" fillId="0" borderId="0" xfId="0" applyNumberFormat="1"/>
    <xf numFmtId="0" fontId="2" fillId="0" borderId="0" xfId="0" applyFont="1"/>
    <xf numFmtId="164" fontId="5" fillId="3" borderId="0" xfId="0" applyNumberFormat="1" applyFont="1" applyFill="1"/>
    <xf numFmtId="2" fontId="4" fillId="0" borderId="0" xfId="0" quotePrefix="1" applyNumberFormat="1" applyFont="1"/>
    <xf numFmtId="2" fontId="4" fillId="0" borderId="0" xfId="0" quotePrefix="1" applyNumberFormat="1" applyFont="1" applyAlignment="1">
      <alignment horizontal="right"/>
    </xf>
    <xf numFmtId="0" fontId="6" fillId="3" borderId="0" xfId="0" applyFont="1" applyFill="1"/>
    <xf numFmtId="2" fontId="0" fillId="0" borderId="0" xfId="0" applyNumberFormat="1"/>
    <xf numFmtId="2" fontId="6" fillId="3" borderId="0" xfId="0" applyNumberFormat="1" applyFont="1" applyFill="1"/>
    <xf numFmtId="0" fontId="8" fillId="2" borderId="0" xfId="0" applyFont="1" applyFill="1" applyAlignment="1">
      <alignment horizontal="center"/>
    </xf>
    <xf numFmtId="0" fontId="7" fillId="2" borderId="0" xfId="0" applyFont="1" applyFill="1" applyAlignment="1">
      <alignment horizontal="center" vertical="center"/>
    </xf>
    <xf numFmtId="0" fontId="8" fillId="2" borderId="0" xfId="0" applyFont="1" applyFill="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cellXfs>
  <cellStyles count="2">
    <cellStyle name="Currency" xfId="1" builtinId="4"/>
    <cellStyle name="Normal" xfId="0" builtinId="0"/>
  </cellStyles>
  <dxfs count="24">
    <dxf>
      <font>
        <b val="0"/>
        <i val="0"/>
        <strike val="0"/>
        <condense val="0"/>
        <extend val="0"/>
        <outline val="0"/>
        <shadow val="0"/>
        <u val="none"/>
        <vertAlign val="baseline"/>
        <sz val="12"/>
        <color auto="1"/>
        <name val="Calibri"/>
        <scheme val="minor"/>
      </font>
      <numFmt numFmtId="164" formatCode="_ [$₹-4009]\ * #,##0.00_ ;_ [$₹-4009]\ * \-#,##0.00_ ;_ [$₹-4009]\ * &quot;-&quot;??_ ;_ @_ "/>
    </dxf>
    <dxf>
      <font>
        <strike val="0"/>
        <outline val="0"/>
        <shadow val="0"/>
        <u val="none"/>
        <vertAlign val="baseline"/>
        <sz val="12"/>
        <color auto="1"/>
        <name val="Calibri"/>
        <scheme val="minor"/>
      </font>
      <numFmt numFmtId="164" formatCode="_ [$₹-4009]\ * #,##0.00_ ;_ [$₹-4009]\ * \-#,##0.00_ ;_ [$₹-4009]\ * &quot;-&quot;??_ ;_ @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b val="0"/>
        <i val="0"/>
        <strike val="0"/>
        <condense val="0"/>
        <extend val="0"/>
        <outline val="0"/>
        <shadow val="0"/>
        <u val="none"/>
        <vertAlign val="baseline"/>
        <sz val="12"/>
        <color auto="1"/>
        <name val="Calibri"/>
        <scheme val="minor"/>
      </font>
      <numFmt numFmtId="165"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scheme val="minor"/>
      </font>
      <numFmt numFmtId="165" formatCode="[$-409]d\-mmm\-yy;@"/>
    </dxf>
    <dxf>
      <font>
        <strike val="0"/>
        <outline val="0"/>
        <shadow val="0"/>
        <u val="none"/>
        <vertAlign val="baseline"/>
        <sz val="12"/>
        <color auto="1"/>
        <name val="Calibri"/>
        <scheme val="minor"/>
      </font>
      <numFmt numFmtId="165" formatCode="[$-409]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auto="1"/>
        <name val="Calibri"/>
        <scheme val="minor"/>
      </font>
      <alignment horizontal="general" textRotation="0" indent="0" justifyLastLine="0" shrinkToFit="0" readingOrder="0"/>
      <protection hidden="0"/>
    </dxf>
    <dxf>
      <font>
        <b/>
        <i val="0"/>
        <strike val="0"/>
        <condense val="0"/>
        <extend val="0"/>
        <outline val="0"/>
        <shadow val="0"/>
        <u val="none"/>
        <vertAlign val="baseline"/>
        <sz val="12"/>
        <color auto="1"/>
        <name val="Calibri"/>
        <scheme val="minor"/>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[Safty_data_Injury_Plant(AutoRecovered).xlsx]PIVOT!PivotTable9</c:name>
    <c:fmtId val="2"/>
  </c:pivotSource>
  <c:chart>
    <c:title>
      <c:tx>
        <c:rich>
          <a:bodyPr/>
          <a:lstStyle/>
          <a:p>
            <a:pPr algn="l">
              <a:defRPr/>
            </a:pPr>
            <a:r>
              <a:rPr lang="en-US" sz="1100">
                <a:solidFill>
                  <a:schemeClr val="tx2"/>
                </a:solidFill>
              </a:rPr>
              <a:t>1. INCIDENT OVER TIME ( Monthly Trend)</a:t>
            </a:r>
          </a:p>
        </c:rich>
      </c:tx>
      <c:layout>
        <c:manualLayout>
          <c:xMode val="edge"/>
          <c:yMode val="edge"/>
          <c:x val="0.16311152929783149"/>
          <c:y val="0"/>
        </c:manualLayout>
      </c:layout>
      <c:overlay val="0"/>
    </c:title>
    <c:autoTitleDeleted val="0"/>
    <c:pivotFmts>
      <c:pivotFmt>
        <c:idx val="0"/>
        <c:marker>
          <c:symbol val="circle"/>
          <c:size val="5"/>
        </c:marker>
        <c:dLbl>
          <c:idx val="0"/>
          <c:delete val="1"/>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PIVOT!$B$2</c:f>
              <c:strCache>
                <c:ptCount val="1"/>
                <c:pt idx="0">
                  <c:v>Total</c:v>
                </c:pt>
              </c:strCache>
            </c:strRef>
          </c:tx>
          <c:marker>
            <c:symbol val="circle"/>
            <c:size val="5"/>
          </c:marker>
          <c:cat>
            <c:strRef>
              <c:f>PIVOT!$A$3:$A$15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PIVOT!$B$3:$B$15</c:f>
              <c:numCache>
                <c:formatCode>General</c:formatCode>
                <c:ptCount val="12"/>
                <c:pt idx="0">
                  <c:v>53</c:v>
                </c:pt>
                <c:pt idx="1">
                  <c:v>55</c:v>
                </c:pt>
                <c:pt idx="2">
                  <c:v>40</c:v>
                </c:pt>
                <c:pt idx="3">
                  <c:v>56</c:v>
                </c:pt>
                <c:pt idx="4">
                  <c:v>54</c:v>
                </c:pt>
                <c:pt idx="5">
                  <c:v>53</c:v>
                </c:pt>
                <c:pt idx="6">
                  <c:v>35</c:v>
                </c:pt>
                <c:pt idx="7">
                  <c:v>40</c:v>
                </c:pt>
                <c:pt idx="8">
                  <c:v>26</c:v>
                </c:pt>
                <c:pt idx="9">
                  <c:v>35</c:v>
                </c:pt>
                <c:pt idx="10">
                  <c:v>32</c:v>
                </c:pt>
                <c:pt idx="11">
                  <c:v>35</c:v>
                </c:pt>
              </c:numCache>
            </c:numRef>
          </c:val>
          <c:smooth val="0"/>
          <c:extLst>
            <c:ext xmlns:c16="http://schemas.microsoft.com/office/drawing/2014/chart" uri="{C3380CC4-5D6E-409C-BE32-E72D297353CC}">
              <c16:uniqueId val="{00000000-541C-42F5-943B-AFC422F2BDCE}"/>
            </c:ext>
          </c:extLst>
        </c:ser>
        <c:dLbls>
          <c:showLegendKey val="0"/>
          <c:showVal val="0"/>
          <c:showCatName val="0"/>
          <c:showSerName val="0"/>
          <c:showPercent val="0"/>
          <c:showBubbleSize val="0"/>
        </c:dLbls>
        <c:marker val="1"/>
        <c:smooth val="0"/>
        <c:axId val="193027456"/>
        <c:axId val="193066112"/>
      </c:lineChart>
      <c:catAx>
        <c:axId val="193027456"/>
        <c:scaling>
          <c:orientation val="minMax"/>
        </c:scaling>
        <c:delete val="0"/>
        <c:axPos val="b"/>
        <c:numFmt formatCode="General" sourceLinked="0"/>
        <c:majorTickMark val="none"/>
        <c:minorTickMark val="none"/>
        <c:tickLblPos val="nextTo"/>
        <c:crossAx val="193066112"/>
        <c:crosses val="autoZero"/>
        <c:auto val="1"/>
        <c:lblAlgn val="ctr"/>
        <c:lblOffset val="100"/>
        <c:noMultiLvlLbl val="0"/>
      </c:catAx>
      <c:valAx>
        <c:axId val="193066112"/>
        <c:scaling>
          <c:orientation val="minMax"/>
        </c:scaling>
        <c:delete val="0"/>
        <c:axPos val="l"/>
        <c:numFmt formatCode="General" sourceLinked="1"/>
        <c:majorTickMark val="none"/>
        <c:minorTickMark val="none"/>
        <c:tickLblPos val="nextTo"/>
        <c:spPr>
          <a:ln w="9525">
            <a:noFill/>
          </a:ln>
        </c:spPr>
        <c:crossAx val="193027456"/>
        <c:crosses val="autoZero"/>
        <c:crossBetween val="between"/>
      </c:valAx>
      <c:spPr>
        <a:noFill/>
        <a:ln w="25400">
          <a:noFill/>
        </a:ln>
        <a:effectLst>
          <a:softEdge rad="0"/>
        </a:effectLst>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[Safty_data_Injury_Plant(AutoRecovered).xlsx]PIVOT!PivotTable10</c:name>
    <c:fmtId val="2"/>
  </c:pivotSource>
  <c:chart>
    <c:title>
      <c:tx>
        <c:rich>
          <a:bodyPr/>
          <a:lstStyle/>
          <a:p>
            <a:pPr>
              <a:defRPr>
                <a:solidFill>
                  <a:srgbClr val="00B050"/>
                </a:solidFill>
              </a:defRPr>
            </a:pPr>
            <a:r>
              <a:rPr lang="en-US" sz="1100" b="1">
                <a:solidFill>
                  <a:srgbClr val="00B050"/>
                </a:solidFill>
              </a:rPr>
              <a:t>2. INCIDENT COST OVER TIME (Monthly Trend)</a:t>
            </a:r>
          </a:p>
        </c:rich>
      </c:tx>
      <c:overlay val="0"/>
    </c:title>
    <c:autoTitleDeleted val="0"/>
    <c:pivotFmts>
      <c:pivotFmt>
        <c:idx val="0"/>
        <c:spPr>
          <a:gradFill flip="none" rotWithShape="1">
            <a:gsLst>
              <a:gs pos="0">
                <a:srgbClr val="00B050"/>
              </a:gs>
              <a:gs pos="50000">
                <a:srgbClr val="92D050">
                  <a:lumMod val="94000"/>
                  <a:lumOff val="6000"/>
                </a:srgbClr>
              </a:gs>
              <a:gs pos="100000">
                <a:srgbClr val="92D050"/>
              </a:gs>
              <a:gs pos="100000">
                <a:schemeClr val="accent1">
                  <a:tint val="23500"/>
                  <a:satMod val="160000"/>
                </a:schemeClr>
              </a:gs>
            </a:gsLst>
            <a:lin ang="2700000" scaled="0"/>
            <a:tileRect/>
          </a:gradFill>
          <a:ln>
            <a:solidFill>
              <a:srgbClr val="00B050"/>
            </a:solidFill>
            <a:bevel/>
          </a:ln>
        </c:spPr>
        <c:marker>
          <c:symbol val="none"/>
        </c:marker>
        <c:dLbl>
          <c:idx val="0"/>
          <c:delete val="1"/>
          <c:extLst>
            <c:ext xmlns:c15="http://schemas.microsoft.com/office/drawing/2012/chart" uri="{CE6537A1-D6FC-4f65-9D91-7224C49458BB}"/>
          </c:extLst>
        </c:dLbl>
      </c:pivotFmt>
      <c:pivotFmt>
        <c:idx val="1"/>
      </c:pivotFmt>
    </c:pivotFmts>
    <c:plotArea>
      <c:layout/>
      <c:areaChart>
        <c:grouping val="standard"/>
        <c:varyColors val="0"/>
        <c:ser>
          <c:idx val="0"/>
          <c:order val="0"/>
          <c:tx>
            <c:strRef>
              <c:f>PIVOT!$B$18</c:f>
              <c:strCache>
                <c:ptCount val="1"/>
                <c:pt idx="0">
                  <c:v>Total</c:v>
                </c:pt>
              </c:strCache>
            </c:strRef>
          </c:tx>
          <c:spPr>
            <a:gradFill flip="none" rotWithShape="1">
              <a:gsLst>
                <a:gs pos="0">
                  <a:srgbClr val="00B050"/>
                </a:gs>
                <a:gs pos="50000">
                  <a:srgbClr val="92D050">
                    <a:lumMod val="94000"/>
                    <a:lumOff val="6000"/>
                  </a:srgbClr>
                </a:gs>
                <a:gs pos="100000">
                  <a:srgbClr val="92D050"/>
                </a:gs>
                <a:gs pos="100000">
                  <a:schemeClr val="accent1">
                    <a:tint val="23500"/>
                    <a:satMod val="160000"/>
                  </a:schemeClr>
                </a:gs>
              </a:gsLst>
              <a:lin ang="2700000" scaled="0"/>
              <a:tileRect/>
            </a:gradFill>
            <a:ln>
              <a:solidFill>
                <a:srgbClr val="00B050"/>
              </a:solidFill>
              <a:bevel/>
            </a:ln>
          </c:spP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PIVOT!$B$19:$B$31</c:f>
              <c:numCache>
                <c:formatCode>General</c:formatCode>
                <c:ptCount val="12"/>
                <c:pt idx="0">
                  <c:v>63033</c:v>
                </c:pt>
                <c:pt idx="1">
                  <c:v>81133</c:v>
                </c:pt>
                <c:pt idx="2">
                  <c:v>63428</c:v>
                </c:pt>
                <c:pt idx="3">
                  <c:v>84766</c:v>
                </c:pt>
                <c:pt idx="4">
                  <c:v>58728</c:v>
                </c:pt>
                <c:pt idx="5">
                  <c:v>64087</c:v>
                </c:pt>
                <c:pt idx="6">
                  <c:v>69669</c:v>
                </c:pt>
                <c:pt idx="7">
                  <c:v>44947</c:v>
                </c:pt>
                <c:pt idx="8">
                  <c:v>35339</c:v>
                </c:pt>
                <c:pt idx="9">
                  <c:v>45447</c:v>
                </c:pt>
                <c:pt idx="10">
                  <c:v>50504</c:v>
                </c:pt>
                <c:pt idx="11">
                  <c:v>56714</c:v>
                </c:pt>
              </c:numCache>
            </c:numRef>
          </c:val>
          <c:extLst>
            <c:ext xmlns:c16="http://schemas.microsoft.com/office/drawing/2014/chart" uri="{C3380CC4-5D6E-409C-BE32-E72D297353CC}">
              <c16:uniqueId val="{00000000-221F-491C-8607-F584DDCB9D1A}"/>
            </c:ext>
          </c:extLst>
        </c:ser>
        <c:dLbls>
          <c:showLegendKey val="0"/>
          <c:showVal val="0"/>
          <c:showCatName val="0"/>
          <c:showSerName val="0"/>
          <c:showPercent val="0"/>
          <c:showBubbleSize val="0"/>
        </c:dLbls>
        <c:axId val="193873024"/>
        <c:axId val="193874560"/>
      </c:areaChart>
      <c:catAx>
        <c:axId val="193873024"/>
        <c:scaling>
          <c:orientation val="minMax"/>
        </c:scaling>
        <c:delete val="0"/>
        <c:axPos val="b"/>
        <c:numFmt formatCode="General" sourceLinked="0"/>
        <c:majorTickMark val="none"/>
        <c:minorTickMark val="none"/>
        <c:tickLblPos val="nextTo"/>
        <c:crossAx val="193874560"/>
        <c:crossesAt val="0"/>
        <c:auto val="1"/>
        <c:lblAlgn val="ctr"/>
        <c:lblOffset val="100"/>
        <c:noMultiLvlLbl val="0"/>
      </c:catAx>
      <c:valAx>
        <c:axId val="193874560"/>
        <c:scaling>
          <c:orientation val="minMax"/>
        </c:scaling>
        <c:delete val="0"/>
        <c:axPos val="l"/>
        <c:majorGridlines/>
        <c:numFmt formatCode="General" sourceLinked="1"/>
        <c:majorTickMark val="out"/>
        <c:minorTickMark val="none"/>
        <c:tickLblPos val="nextTo"/>
        <c:spPr>
          <a:ln>
            <a:round/>
          </a:ln>
        </c:spPr>
        <c:crossAx val="193873024"/>
        <c:crosses val="autoZero"/>
        <c:crossBetween val="midCat"/>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[Safty_data_Injury_Plant(AutoRecovered).xlsx]PIVOT!PivotTable11</c:name>
    <c:fmtId val="0"/>
  </c:pivotSource>
  <c:chart>
    <c:title>
      <c:tx>
        <c:rich>
          <a:bodyPr/>
          <a:lstStyle/>
          <a:p>
            <a:pPr>
              <a:defRPr/>
            </a:pPr>
            <a:r>
              <a:rPr lang="en-US" sz="1100">
                <a:solidFill>
                  <a:srgbClr val="0070C0"/>
                </a:solidFill>
              </a:rPr>
              <a:t>3. INCIDENT  BY PLANT</a:t>
            </a:r>
          </a:p>
        </c:rich>
      </c:tx>
      <c:layout>
        <c:manualLayout>
          <c:xMode val="edge"/>
          <c:yMode val="edge"/>
          <c:x val="0.32123431771421501"/>
          <c:y val="0"/>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c:spPr>
      </c:pivotFmt>
      <c:pivotFmt>
        <c:idx val="2"/>
        <c:spPr>
          <a:solidFill>
            <a:schemeClr val="accent5">
              <a:lumMod val="75000"/>
            </a:schemeClr>
          </a:solidFill>
        </c:spPr>
      </c:pivotFmt>
      <c:pivotFmt>
        <c:idx val="3"/>
        <c:spPr>
          <a:solidFill>
            <a:srgbClr val="FF0000"/>
          </a:solidFill>
        </c:spPr>
      </c:pivotFmt>
      <c:pivotFmt>
        <c:idx val="4"/>
        <c:spPr>
          <a:solidFill>
            <a:srgbClr val="00B050"/>
          </a:solidFill>
        </c:spPr>
      </c:pivotFmt>
      <c:pivotFmt>
        <c:idx val="5"/>
        <c:spPr>
          <a:solidFill>
            <a:srgbClr val="0070C0"/>
          </a:solidFill>
        </c:spPr>
      </c:pivotFmt>
      <c:pivotFmt>
        <c:idx val="6"/>
        <c:spPr>
          <a:solidFill>
            <a:srgbClr val="FFC000"/>
          </a:solidFill>
        </c:spPr>
      </c:pivotFmt>
      <c:pivotFmt>
        <c:idx val="7"/>
        <c:spPr>
          <a:solidFill>
            <a:srgbClr val="7030A0"/>
          </a:solidFill>
        </c:spPr>
      </c:pivotFmt>
      <c:pivotFmt>
        <c:idx val="8"/>
        <c:spPr>
          <a:solidFill>
            <a:schemeClr val="accent5">
              <a:lumMod val="75000"/>
            </a:schemeClr>
          </a:solidFill>
        </c:spPr>
      </c:pivotFmt>
      <c:pivotFmt>
        <c:idx val="9"/>
        <c:spPr>
          <a:solidFill>
            <a:srgbClr val="00B0F0"/>
          </a:solidFill>
        </c:spPr>
      </c:pivotFmt>
    </c:pivotFmts>
    <c:plotArea>
      <c:layout/>
      <c:barChart>
        <c:barDir val="bar"/>
        <c:grouping val="clustered"/>
        <c:varyColors val="0"/>
        <c:ser>
          <c:idx val="0"/>
          <c:order val="0"/>
          <c:tx>
            <c:strRef>
              <c:f>PIVOT!$K$2</c:f>
              <c:strCache>
                <c:ptCount val="1"/>
                <c:pt idx="0">
                  <c:v>Total</c:v>
                </c:pt>
              </c:strCache>
            </c:strRef>
          </c:tx>
          <c:invertIfNegative val="0"/>
          <c:dPt>
            <c:idx val="0"/>
            <c:invertIfNegative val="0"/>
            <c:bubble3D val="0"/>
            <c:spPr>
              <a:solidFill>
                <a:srgbClr val="00B0F0"/>
              </a:solidFill>
            </c:spPr>
            <c:extLst>
              <c:ext xmlns:c16="http://schemas.microsoft.com/office/drawing/2014/chart" uri="{C3380CC4-5D6E-409C-BE32-E72D297353CC}">
                <c16:uniqueId val="{00000001-6A92-4792-A06B-A22E1F4D74BE}"/>
              </c:ext>
            </c:extLst>
          </c:dPt>
          <c:dPt>
            <c:idx val="1"/>
            <c:invertIfNegative val="0"/>
            <c:bubble3D val="0"/>
            <c:spPr>
              <a:solidFill>
                <a:schemeClr val="accent5">
                  <a:lumMod val="75000"/>
                </a:schemeClr>
              </a:solidFill>
            </c:spPr>
            <c:extLst>
              <c:ext xmlns:c16="http://schemas.microsoft.com/office/drawing/2014/chart" uri="{C3380CC4-5D6E-409C-BE32-E72D297353CC}">
                <c16:uniqueId val="{00000003-6A92-4792-A06B-A22E1F4D74BE}"/>
              </c:ext>
            </c:extLst>
          </c:dPt>
          <c:dPt>
            <c:idx val="2"/>
            <c:invertIfNegative val="0"/>
            <c:bubble3D val="0"/>
            <c:spPr>
              <a:solidFill>
                <a:schemeClr val="accent5">
                  <a:lumMod val="75000"/>
                </a:schemeClr>
              </a:solidFill>
            </c:spPr>
            <c:extLst>
              <c:ext xmlns:c16="http://schemas.microsoft.com/office/drawing/2014/chart" uri="{C3380CC4-5D6E-409C-BE32-E72D297353CC}">
                <c16:uniqueId val="{00000005-6A92-4792-A06B-A22E1F4D74BE}"/>
              </c:ext>
            </c:extLst>
          </c:dPt>
          <c:dPt>
            <c:idx val="3"/>
            <c:invertIfNegative val="0"/>
            <c:bubble3D val="0"/>
            <c:spPr>
              <a:solidFill>
                <a:srgbClr val="7030A0"/>
              </a:solidFill>
            </c:spPr>
            <c:extLst>
              <c:ext xmlns:c16="http://schemas.microsoft.com/office/drawing/2014/chart" uri="{C3380CC4-5D6E-409C-BE32-E72D297353CC}">
                <c16:uniqueId val="{00000007-6A92-4792-A06B-A22E1F4D74BE}"/>
              </c:ext>
            </c:extLst>
          </c:dPt>
          <c:dPt>
            <c:idx val="4"/>
            <c:invertIfNegative val="0"/>
            <c:bubble3D val="0"/>
            <c:spPr>
              <a:solidFill>
                <a:srgbClr val="7030A0"/>
              </a:solidFill>
            </c:spPr>
            <c:extLst>
              <c:ext xmlns:c16="http://schemas.microsoft.com/office/drawing/2014/chart" uri="{C3380CC4-5D6E-409C-BE32-E72D297353CC}">
                <c16:uniqueId val="{00000009-6A92-4792-A06B-A22E1F4D74BE}"/>
              </c:ext>
            </c:extLst>
          </c:dPt>
          <c:dPt>
            <c:idx val="5"/>
            <c:invertIfNegative val="0"/>
            <c:bubble3D val="0"/>
            <c:spPr>
              <a:solidFill>
                <a:srgbClr val="FFC000"/>
              </a:solidFill>
            </c:spPr>
            <c:extLst>
              <c:ext xmlns:c16="http://schemas.microsoft.com/office/drawing/2014/chart" uri="{C3380CC4-5D6E-409C-BE32-E72D297353CC}">
                <c16:uniqueId val="{0000000B-6A92-4792-A06B-A22E1F4D74BE}"/>
              </c:ext>
            </c:extLst>
          </c:dPt>
          <c:dPt>
            <c:idx val="6"/>
            <c:invertIfNegative val="0"/>
            <c:bubble3D val="0"/>
            <c:spPr>
              <a:solidFill>
                <a:srgbClr val="00B050"/>
              </a:solidFill>
            </c:spPr>
            <c:extLst>
              <c:ext xmlns:c16="http://schemas.microsoft.com/office/drawing/2014/chart" uri="{C3380CC4-5D6E-409C-BE32-E72D297353CC}">
                <c16:uniqueId val="{0000000D-6A92-4792-A06B-A22E1F4D74BE}"/>
              </c:ext>
            </c:extLst>
          </c:dPt>
          <c:dPt>
            <c:idx val="7"/>
            <c:invertIfNegative val="0"/>
            <c:bubble3D val="0"/>
            <c:spPr>
              <a:solidFill>
                <a:srgbClr val="0070C0"/>
              </a:solidFill>
            </c:spPr>
            <c:extLst>
              <c:ext xmlns:c16="http://schemas.microsoft.com/office/drawing/2014/chart" uri="{C3380CC4-5D6E-409C-BE32-E72D297353CC}">
                <c16:uniqueId val="{0000000F-6A92-4792-A06B-A22E1F4D74BE}"/>
              </c:ext>
            </c:extLst>
          </c:dPt>
          <c:dPt>
            <c:idx val="8"/>
            <c:invertIfNegative val="0"/>
            <c:bubble3D val="0"/>
            <c:spPr>
              <a:solidFill>
                <a:srgbClr val="FF0000"/>
              </a:solidFill>
            </c:spPr>
            <c:extLst>
              <c:ext xmlns:c16="http://schemas.microsoft.com/office/drawing/2014/chart" uri="{C3380CC4-5D6E-409C-BE32-E72D297353CC}">
                <c16:uniqueId val="{00000011-6A92-4792-A06B-A22E1F4D74BE}"/>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PIVOT!$J$3:$J$12</c:f>
              <c:strCache>
                <c:ptCount val="9"/>
                <c:pt idx="0">
                  <c:v>Bangalore</c:v>
                </c:pt>
                <c:pt idx="1">
                  <c:v>Delhi</c:v>
                </c:pt>
                <c:pt idx="2">
                  <c:v>Mumbai</c:v>
                </c:pt>
                <c:pt idx="3">
                  <c:v>Hyderabad</c:v>
                </c:pt>
                <c:pt idx="4">
                  <c:v>Trivandrum</c:v>
                </c:pt>
                <c:pt idx="5">
                  <c:v>Chennai</c:v>
                </c:pt>
                <c:pt idx="6">
                  <c:v>Jaipur</c:v>
                </c:pt>
                <c:pt idx="7">
                  <c:v>Bhopal</c:v>
                </c:pt>
                <c:pt idx="8">
                  <c:v>Kolkata</c:v>
                </c:pt>
              </c:strCache>
            </c:strRef>
          </c:cat>
          <c:val>
            <c:numRef>
              <c:f>PIVOT!$K$3:$K$12</c:f>
              <c:numCache>
                <c:formatCode>General</c:formatCode>
                <c:ptCount val="9"/>
                <c:pt idx="0">
                  <c:v>52</c:v>
                </c:pt>
                <c:pt idx="1">
                  <c:v>54</c:v>
                </c:pt>
                <c:pt idx="2">
                  <c:v>54</c:v>
                </c:pt>
                <c:pt idx="3">
                  <c:v>56</c:v>
                </c:pt>
                <c:pt idx="4">
                  <c:v>56</c:v>
                </c:pt>
                <c:pt idx="5">
                  <c:v>58</c:v>
                </c:pt>
                <c:pt idx="6">
                  <c:v>59</c:v>
                </c:pt>
                <c:pt idx="7">
                  <c:v>61</c:v>
                </c:pt>
                <c:pt idx="8">
                  <c:v>64</c:v>
                </c:pt>
              </c:numCache>
            </c:numRef>
          </c:val>
          <c:extLst>
            <c:ext xmlns:c16="http://schemas.microsoft.com/office/drawing/2014/chart" uri="{C3380CC4-5D6E-409C-BE32-E72D297353CC}">
              <c16:uniqueId val="{00000012-6A92-4792-A06B-A22E1F4D74BE}"/>
            </c:ext>
          </c:extLst>
        </c:ser>
        <c:dLbls>
          <c:dLblPos val="outEnd"/>
          <c:showLegendKey val="0"/>
          <c:showVal val="1"/>
          <c:showCatName val="0"/>
          <c:showSerName val="0"/>
          <c:showPercent val="0"/>
          <c:showBubbleSize val="0"/>
        </c:dLbls>
        <c:gapWidth val="25"/>
        <c:axId val="193910272"/>
        <c:axId val="193941504"/>
      </c:barChart>
      <c:catAx>
        <c:axId val="193910272"/>
        <c:scaling>
          <c:orientation val="minMax"/>
        </c:scaling>
        <c:delete val="0"/>
        <c:axPos val="l"/>
        <c:numFmt formatCode="General" sourceLinked="0"/>
        <c:majorTickMark val="none"/>
        <c:minorTickMark val="none"/>
        <c:tickLblPos val="nextTo"/>
        <c:crossAx val="193941504"/>
        <c:crosses val="autoZero"/>
        <c:auto val="1"/>
        <c:lblAlgn val="ctr"/>
        <c:lblOffset val="100"/>
        <c:noMultiLvlLbl val="0"/>
      </c:catAx>
      <c:valAx>
        <c:axId val="193941504"/>
        <c:scaling>
          <c:orientation val="minMax"/>
        </c:scaling>
        <c:delete val="0"/>
        <c:axPos val="b"/>
        <c:numFmt formatCode="General" sourceLinked="1"/>
        <c:majorTickMark val="none"/>
        <c:minorTickMark val="none"/>
        <c:tickLblPos val="nextTo"/>
        <c:crossAx val="1939102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[Safty_data_Injury_Plant(AutoRecovered).xlsx]PIVOT!PivotTable12</c:name>
    <c:fmtId val="0"/>
  </c:pivotSource>
  <c:chart>
    <c:title>
      <c:tx>
        <c:rich>
          <a:bodyPr/>
          <a:lstStyle/>
          <a:p>
            <a:pPr>
              <a:defRPr/>
            </a:pPr>
            <a:r>
              <a:rPr lang="en-US" sz="1200"/>
              <a:t>4. INCIDENT COST BY PLANT</a:t>
            </a:r>
          </a:p>
        </c:rich>
      </c:tx>
      <c:layout>
        <c:manualLayout>
          <c:xMode val="edge"/>
          <c:yMode val="edge"/>
          <c:x val="0.32519444444444445"/>
          <c:y val="8.2385535141440668E-3"/>
        </c:manualLayout>
      </c:layout>
      <c:overlay val="0"/>
    </c:title>
    <c:autoTitleDeleted val="0"/>
    <c:pivotFmts>
      <c:pivotFmt>
        <c:idx val="0"/>
        <c:spPr>
          <a:ln w="19050"/>
        </c:spPr>
        <c:marker>
          <c:symbol val="none"/>
        </c:marker>
        <c:dLbl>
          <c:idx val="0"/>
          <c:numFmt formatCode="[$₹-4009]\ #,##0.00" sourceLinked="0"/>
          <c:spPr/>
          <c:txPr>
            <a:bodyPr anchor="ctr" anchorCtr="1"/>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c:spPr>
      </c:pivotFmt>
      <c:pivotFmt>
        <c:idx val="2"/>
        <c:spPr>
          <a:solidFill>
            <a:srgbClr val="0070C0"/>
          </a:solidFill>
          <a:ln w="19050"/>
        </c:spPr>
      </c:pivotFmt>
      <c:pivotFmt>
        <c:idx val="3"/>
        <c:spPr>
          <a:solidFill>
            <a:srgbClr val="00B050"/>
          </a:solidFill>
          <a:ln w="19050"/>
        </c:spPr>
      </c:pivotFmt>
      <c:pivotFmt>
        <c:idx val="4"/>
        <c:spPr>
          <a:solidFill>
            <a:srgbClr val="FFC000"/>
          </a:solidFill>
          <a:ln w="19050"/>
        </c:spPr>
      </c:pivotFmt>
      <c:pivotFmt>
        <c:idx val="5"/>
        <c:spPr>
          <a:solidFill>
            <a:srgbClr val="7030A0"/>
          </a:solidFill>
          <a:ln w="19050"/>
        </c:spPr>
      </c:pivotFmt>
      <c:pivotFmt>
        <c:idx val="6"/>
        <c:spPr>
          <a:solidFill>
            <a:schemeClr val="accent5">
              <a:lumMod val="75000"/>
            </a:schemeClr>
          </a:solidFill>
          <a:ln w="19050"/>
        </c:spPr>
      </c:pivotFmt>
      <c:pivotFmt>
        <c:idx val="7"/>
        <c:spPr>
          <a:solidFill>
            <a:srgbClr val="00B0F0"/>
          </a:solidFill>
          <a:ln w="19050"/>
        </c:spPr>
      </c:pivotFmt>
      <c:pivotFmt>
        <c:idx val="8"/>
        <c:spPr>
          <a:solidFill>
            <a:schemeClr val="accent4">
              <a:lumMod val="60000"/>
              <a:lumOff val="40000"/>
            </a:schemeClr>
          </a:solidFill>
          <a:ln w="19050"/>
        </c:spPr>
      </c:pivotFmt>
      <c:pivotFmt>
        <c:idx val="9"/>
        <c:spPr>
          <a:solidFill>
            <a:schemeClr val="accent6">
              <a:lumMod val="20000"/>
              <a:lumOff val="80000"/>
            </a:schemeClr>
          </a:solidFill>
          <a:ln w="19050"/>
        </c:spPr>
      </c:pivotFmt>
    </c:pivotFmts>
    <c:plotArea>
      <c:layout/>
      <c:barChart>
        <c:barDir val="bar"/>
        <c:grouping val="clustered"/>
        <c:varyColors val="0"/>
        <c:ser>
          <c:idx val="0"/>
          <c:order val="0"/>
          <c:tx>
            <c:strRef>
              <c:f>PIVOT!$K$18</c:f>
              <c:strCache>
                <c:ptCount val="1"/>
                <c:pt idx="0">
                  <c:v>Total</c:v>
                </c:pt>
              </c:strCache>
            </c:strRef>
          </c:tx>
          <c:spPr>
            <a:ln w="19050"/>
          </c:spPr>
          <c:invertIfNegative val="0"/>
          <c:dPt>
            <c:idx val="0"/>
            <c:invertIfNegative val="0"/>
            <c:bubble3D val="0"/>
            <c:spPr>
              <a:solidFill>
                <a:schemeClr val="accent6">
                  <a:lumMod val="20000"/>
                  <a:lumOff val="80000"/>
                </a:schemeClr>
              </a:solidFill>
              <a:ln w="19050"/>
            </c:spPr>
            <c:extLst>
              <c:ext xmlns:c16="http://schemas.microsoft.com/office/drawing/2014/chart" uri="{C3380CC4-5D6E-409C-BE32-E72D297353CC}">
                <c16:uniqueId val="{00000001-7D22-414D-83DE-B0AE87DF2802}"/>
              </c:ext>
            </c:extLst>
          </c:dPt>
          <c:dPt>
            <c:idx val="1"/>
            <c:invertIfNegative val="0"/>
            <c:bubble3D val="0"/>
            <c:spPr>
              <a:solidFill>
                <a:schemeClr val="accent4">
                  <a:lumMod val="60000"/>
                  <a:lumOff val="40000"/>
                </a:schemeClr>
              </a:solidFill>
              <a:ln w="19050"/>
            </c:spPr>
            <c:extLst>
              <c:ext xmlns:c16="http://schemas.microsoft.com/office/drawing/2014/chart" uri="{C3380CC4-5D6E-409C-BE32-E72D297353CC}">
                <c16:uniqueId val="{00000003-7D22-414D-83DE-B0AE87DF2802}"/>
              </c:ext>
            </c:extLst>
          </c:dPt>
          <c:dPt>
            <c:idx val="2"/>
            <c:invertIfNegative val="0"/>
            <c:bubble3D val="0"/>
            <c:spPr>
              <a:solidFill>
                <a:srgbClr val="00B0F0"/>
              </a:solidFill>
              <a:ln w="19050"/>
            </c:spPr>
            <c:extLst>
              <c:ext xmlns:c16="http://schemas.microsoft.com/office/drawing/2014/chart" uri="{C3380CC4-5D6E-409C-BE32-E72D297353CC}">
                <c16:uniqueId val="{00000005-7D22-414D-83DE-B0AE87DF2802}"/>
              </c:ext>
            </c:extLst>
          </c:dPt>
          <c:dPt>
            <c:idx val="3"/>
            <c:invertIfNegative val="0"/>
            <c:bubble3D val="0"/>
            <c:spPr>
              <a:solidFill>
                <a:schemeClr val="accent5">
                  <a:lumMod val="75000"/>
                </a:schemeClr>
              </a:solidFill>
              <a:ln w="19050"/>
            </c:spPr>
            <c:extLst>
              <c:ext xmlns:c16="http://schemas.microsoft.com/office/drawing/2014/chart" uri="{C3380CC4-5D6E-409C-BE32-E72D297353CC}">
                <c16:uniqueId val="{00000007-7D22-414D-83DE-B0AE87DF2802}"/>
              </c:ext>
            </c:extLst>
          </c:dPt>
          <c:dPt>
            <c:idx val="4"/>
            <c:invertIfNegative val="0"/>
            <c:bubble3D val="0"/>
            <c:spPr>
              <a:solidFill>
                <a:srgbClr val="7030A0"/>
              </a:solidFill>
              <a:ln w="19050"/>
            </c:spPr>
            <c:extLst>
              <c:ext xmlns:c16="http://schemas.microsoft.com/office/drawing/2014/chart" uri="{C3380CC4-5D6E-409C-BE32-E72D297353CC}">
                <c16:uniqueId val="{00000009-7D22-414D-83DE-B0AE87DF2802}"/>
              </c:ext>
            </c:extLst>
          </c:dPt>
          <c:dPt>
            <c:idx val="5"/>
            <c:invertIfNegative val="0"/>
            <c:bubble3D val="0"/>
            <c:spPr>
              <a:solidFill>
                <a:srgbClr val="FFC000"/>
              </a:solidFill>
              <a:ln w="19050"/>
            </c:spPr>
            <c:extLst>
              <c:ext xmlns:c16="http://schemas.microsoft.com/office/drawing/2014/chart" uri="{C3380CC4-5D6E-409C-BE32-E72D297353CC}">
                <c16:uniqueId val="{0000000B-7D22-414D-83DE-B0AE87DF2802}"/>
              </c:ext>
            </c:extLst>
          </c:dPt>
          <c:dPt>
            <c:idx val="6"/>
            <c:invertIfNegative val="0"/>
            <c:bubble3D val="0"/>
            <c:spPr>
              <a:solidFill>
                <a:srgbClr val="00B050"/>
              </a:solidFill>
              <a:ln w="19050"/>
            </c:spPr>
            <c:extLst>
              <c:ext xmlns:c16="http://schemas.microsoft.com/office/drawing/2014/chart" uri="{C3380CC4-5D6E-409C-BE32-E72D297353CC}">
                <c16:uniqueId val="{0000000D-7D22-414D-83DE-B0AE87DF2802}"/>
              </c:ext>
            </c:extLst>
          </c:dPt>
          <c:dPt>
            <c:idx val="7"/>
            <c:invertIfNegative val="0"/>
            <c:bubble3D val="0"/>
            <c:spPr>
              <a:solidFill>
                <a:srgbClr val="0070C0"/>
              </a:solidFill>
              <a:ln w="19050"/>
            </c:spPr>
            <c:extLst>
              <c:ext xmlns:c16="http://schemas.microsoft.com/office/drawing/2014/chart" uri="{C3380CC4-5D6E-409C-BE32-E72D297353CC}">
                <c16:uniqueId val="{0000000F-7D22-414D-83DE-B0AE87DF2802}"/>
              </c:ext>
            </c:extLst>
          </c:dPt>
          <c:dPt>
            <c:idx val="8"/>
            <c:invertIfNegative val="0"/>
            <c:bubble3D val="0"/>
            <c:spPr>
              <a:solidFill>
                <a:srgbClr val="FF0000"/>
              </a:solidFill>
              <a:ln w="19050"/>
            </c:spPr>
            <c:extLst>
              <c:ext xmlns:c16="http://schemas.microsoft.com/office/drawing/2014/chart" uri="{C3380CC4-5D6E-409C-BE32-E72D297353CC}">
                <c16:uniqueId val="{00000011-7D22-414D-83DE-B0AE87DF2802}"/>
              </c:ext>
            </c:extLst>
          </c:dPt>
          <c:dLbls>
            <c:numFmt formatCode="[$₹-4009]\ #,##0.00" sourceLinked="0"/>
            <c:spPr/>
            <c:txPr>
              <a:bodyPr anchor="ctr" anchorCtr="1"/>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PIVOT!$J$19:$J$28</c:f>
              <c:strCache>
                <c:ptCount val="9"/>
                <c:pt idx="0">
                  <c:v>Delhi</c:v>
                </c:pt>
                <c:pt idx="1">
                  <c:v>Trivandrum</c:v>
                </c:pt>
                <c:pt idx="2">
                  <c:v>Mumbai</c:v>
                </c:pt>
                <c:pt idx="3">
                  <c:v>Bangalore</c:v>
                </c:pt>
                <c:pt idx="4">
                  <c:v>Bhopal</c:v>
                </c:pt>
                <c:pt idx="5">
                  <c:v>Hyderabad</c:v>
                </c:pt>
                <c:pt idx="6">
                  <c:v>Kolkata</c:v>
                </c:pt>
                <c:pt idx="7">
                  <c:v>Chennai</c:v>
                </c:pt>
                <c:pt idx="8">
                  <c:v>Jaipur</c:v>
                </c:pt>
              </c:strCache>
            </c:strRef>
          </c:cat>
          <c:val>
            <c:numRef>
              <c:f>PIVOT!$K$19:$K$28</c:f>
              <c:numCache>
                <c:formatCode>General</c:formatCode>
                <c:ptCount val="9"/>
                <c:pt idx="0">
                  <c:v>64363</c:v>
                </c:pt>
                <c:pt idx="1">
                  <c:v>67615</c:v>
                </c:pt>
                <c:pt idx="2">
                  <c:v>70710</c:v>
                </c:pt>
                <c:pt idx="3">
                  <c:v>73965</c:v>
                </c:pt>
                <c:pt idx="4">
                  <c:v>80902</c:v>
                </c:pt>
                <c:pt idx="5">
                  <c:v>83352</c:v>
                </c:pt>
                <c:pt idx="6">
                  <c:v>86376</c:v>
                </c:pt>
                <c:pt idx="7">
                  <c:v>87548</c:v>
                </c:pt>
                <c:pt idx="8">
                  <c:v>102964</c:v>
                </c:pt>
              </c:numCache>
            </c:numRef>
          </c:val>
          <c:extLst>
            <c:ext xmlns:c16="http://schemas.microsoft.com/office/drawing/2014/chart" uri="{C3380CC4-5D6E-409C-BE32-E72D297353CC}">
              <c16:uniqueId val="{00000012-7D22-414D-83DE-B0AE87DF2802}"/>
            </c:ext>
          </c:extLst>
        </c:ser>
        <c:dLbls>
          <c:dLblPos val="outEnd"/>
          <c:showLegendKey val="0"/>
          <c:showVal val="1"/>
          <c:showCatName val="0"/>
          <c:showSerName val="0"/>
          <c:showPercent val="0"/>
          <c:showBubbleSize val="0"/>
        </c:dLbls>
        <c:gapWidth val="33"/>
        <c:axId val="193985536"/>
        <c:axId val="193996288"/>
      </c:barChart>
      <c:catAx>
        <c:axId val="193985536"/>
        <c:scaling>
          <c:orientation val="minMax"/>
        </c:scaling>
        <c:delete val="0"/>
        <c:axPos val="l"/>
        <c:numFmt formatCode="General" sourceLinked="0"/>
        <c:majorTickMark val="out"/>
        <c:minorTickMark val="none"/>
        <c:tickLblPos val="nextTo"/>
        <c:crossAx val="193996288"/>
        <c:crosses val="autoZero"/>
        <c:auto val="1"/>
        <c:lblAlgn val="ctr"/>
        <c:lblOffset val="100"/>
        <c:noMultiLvlLbl val="0"/>
      </c:catAx>
      <c:valAx>
        <c:axId val="193996288"/>
        <c:scaling>
          <c:orientation val="minMax"/>
        </c:scaling>
        <c:delete val="0"/>
        <c:axPos val="b"/>
        <c:numFmt formatCode="General" sourceLinked="1"/>
        <c:majorTickMark val="out"/>
        <c:minorTickMark val="none"/>
        <c:tickLblPos val="nextTo"/>
        <c:crossAx val="193985536"/>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[Safty_data_Injury_Plant(AutoRecovered).xlsx]PIVOT!PivotTable13</c:name>
    <c:fmtId val="0"/>
  </c:pivotSource>
  <c:chart>
    <c:title>
      <c:tx>
        <c:rich>
          <a:bodyPr/>
          <a:lstStyle/>
          <a:p>
            <a:pPr>
              <a:defRPr/>
            </a:pPr>
            <a:r>
              <a:rPr lang="en-US" sz="1200">
                <a:solidFill>
                  <a:srgbClr val="0070C0"/>
                </a:solidFill>
              </a:rPr>
              <a:t>5. INCIDENT BY</a:t>
            </a:r>
            <a:r>
              <a:rPr lang="en-US" sz="1200" baseline="0">
                <a:solidFill>
                  <a:srgbClr val="0070C0"/>
                </a:solidFill>
              </a:rPr>
              <a:t> DEPARTMENT</a:t>
            </a:r>
            <a:endParaRPr lang="en-US" sz="1200">
              <a:solidFill>
                <a:srgbClr val="0070C0"/>
              </a:solidFill>
            </a:endParaRPr>
          </a:p>
        </c:rich>
      </c:tx>
      <c:layout>
        <c:manualLayout>
          <c:xMode val="edge"/>
          <c:yMode val="edge"/>
          <c:x val="6.0121617029274888E-4"/>
          <c:y val="2.1755012582190111E-3"/>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PIVOT!$T$2</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PIVOT!$S$3:$S$12</c:f>
              <c:strCache>
                <c:ptCount val="9"/>
                <c:pt idx="0">
                  <c:v>Shipping</c:v>
                </c:pt>
                <c:pt idx="1">
                  <c:v>Administration</c:v>
                </c:pt>
                <c:pt idx="2">
                  <c:v>Maintenance</c:v>
                </c:pt>
                <c:pt idx="3">
                  <c:v>Painting</c:v>
                </c:pt>
                <c:pt idx="4">
                  <c:v>Security</c:v>
                </c:pt>
                <c:pt idx="5">
                  <c:v>Finishing</c:v>
                </c:pt>
                <c:pt idx="6">
                  <c:v>Melting</c:v>
                </c:pt>
                <c:pt idx="7">
                  <c:v>Fabrication</c:v>
                </c:pt>
                <c:pt idx="8">
                  <c:v>Purchasing</c:v>
                </c:pt>
              </c:strCache>
            </c:strRef>
          </c:cat>
          <c:val>
            <c:numRef>
              <c:f>PIVOT!$T$3:$T$12</c:f>
              <c:numCache>
                <c:formatCode>General</c:formatCode>
                <c:ptCount val="9"/>
                <c:pt idx="0">
                  <c:v>68</c:v>
                </c:pt>
                <c:pt idx="1">
                  <c:v>63</c:v>
                </c:pt>
                <c:pt idx="2">
                  <c:v>62</c:v>
                </c:pt>
                <c:pt idx="3">
                  <c:v>60</c:v>
                </c:pt>
                <c:pt idx="4">
                  <c:v>57</c:v>
                </c:pt>
                <c:pt idx="5">
                  <c:v>56</c:v>
                </c:pt>
                <c:pt idx="6">
                  <c:v>55</c:v>
                </c:pt>
                <c:pt idx="7">
                  <c:v>50</c:v>
                </c:pt>
                <c:pt idx="8">
                  <c:v>43</c:v>
                </c:pt>
              </c:numCache>
            </c:numRef>
          </c:val>
          <c:extLst>
            <c:ext xmlns:c16="http://schemas.microsoft.com/office/drawing/2014/chart" uri="{C3380CC4-5D6E-409C-BE32-E72D297353CC}">
              <c16:uniqueId val="{00000000-A3F2-4FD2-A9C8-0EE10048C0E7}"/>
            </c:ext>
          </c:extLst>
        </c:ser>
        <c:dLbls>
          <c:dLblPos val="outEnd"/>
          <c:showLegendKey val="0"/>
          <c:showVal val="1"/>
          <c:showCatName val="0"/>
          <c:showSerName val="0"/>
          <c:showPercent val="0"/>
          <c:showBubbleSize val="0"/>
        </c:dLbls>
        <c:gapWidth val="75"/>
        <c:overlap val="40"/>
        <c:axId val="194017536"/>
        <c:axId val="194028672"/>
      </c:barChart>
      <c:catAx>
        <c:axId val="194017536"/>
        <c:scaling>
          <c:orientation val="minMax"/>
        </c:scaling>
        <c:delete val="0"/>
        <c:axPos val="b"/>
        <c:numFmt formatCode="General" sourceLinked="0"/>
        <c:majorTickMark val="none"/>
        <c:minorTickMark val="none"/>
        <c:tickLblPos val="nextTo"/>
        <c:txPr>
          <a:bodyPr/>
          <a:lstStyle/>
          <a:p>
            <a:pPr>
              <a:defRPr sz="800"/>
            </a:pPr>
            <a:endParaRPr lang="en-US"/>
          </a:p>
        </c:txPr>
        <c:crossAx val="194028672"/>
        <c:crosses val="autoZero"/>
        <c:auto val="1"/>
        <c:lblAlgn val="ctr"/>
        <c:lblOffset val="100"/>
        <c:noMultiLvlLbl val="0"/>
      </c:catAx>
      <c:valAx>
        <c:axId val="194028672"/>
        <c:scaling>
          <c:orientation val="minMax"/>
        </c:scaling>
        <c:delete val="1"/>
        <c:axPos val="l"/>
        <c:numFmt formatCode="General" sourceLinked="1"/>
        <c:majorTickMark val="none"/>
        <c:minorTickMark val="none"/>
        <c:tickLblPos val="nextTo"/>
        <c:crossAx val="194017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[Safty_data_Injury_Plant(AutoRecovered).xlsx]PIVOT!PivotTable14</c:name>
    <c:fmtId val="0"/>
  </c:pivotSource>
  <c:chart>
    <c:title>
      <c:tx>
        <c:rich>
          <a:bodyPr/>
          <a:lstStyle/>
          <a:p>
            <a:pPr>
              <a:defRPr/>
            </a:pPr>
            <a:r>
              <a:rPr lang="en-US" sz="1100">
                <a:solidFill>
                  <a:srgbClr val="7030A0"/>
                </a:solidFill>
              </a:rPr>
              <a:t>6. INCIDENT TYPE DISTRIBUTION</a:t>
            </a:r>
          </a:p>
        </c:rich>
      </c:tx>
      <c:layout>
        <c:manualLayout>
          <c:xMode val="edge"/>
          <c:yMode val="edge"/>
          <c:x val="2.584745762711866E-2"/>
          <c:y val="1.1109222857934127E-2"/>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PIVOT!$T$19</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PIVOT!$S$20:$S$29</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PIVOT!$T$20:$T$29</c:f>
              <c:numCache>
                <c:formatCode>0.00%</c:formatCode>
                <c:ptCount val="9"/>
                <c:pt idx="0">
                  <c:v>0.12645914396887159</c:v>
                </c:pt>
                <c:pt idx="1">
                  <c:v>9.1439688715953302E-2</c:v>
                </c:pt>
                <c:pt idx="2">
                  <c:v>0.11284046692607004</c:v>
                </c:pt>
                <c:pt idx="3">
                  <c:v>0.10700389105058365</c:v>
                </c:pt>
                <c:pt idx="4">
                  <c:v>0.122568093385214</c:v>
                </c:pt>
                <c:pt idx="5">
                  <c:v>0.10700389105058365</c:v>
                </c:pt>
                <c:pt idx="6">
                  <c:v>0.11478599221789883</c:v>
                </c:pt>
                <c:pt idx="7">
                  <c:v>0.12062256809338522</c:v>
                </c:pt>
                <c:pt idx="8">
                  <c:v>9.727626459143969E-2</c:v>
                </c:pt>
              </c:numCache>
            </c:numRef>
          </c:val>
          <c:extLst>
            <c:ext xmlns:c16="http://schemas.microsoft.com/office/drawing/2014/chart" uri="{C3380CC4-5D6E-409C-BE32-E72D297353CC}">
              <c16:uniqueId val="{00000000-B85F-48C2-9AEF-2C8CC207389F}"/>
            </c:ext>
          </c:extLst>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spPr>
    <a:ln>
      <a:solidFill>
        <a:sysClr val="windowText" lastClr="000000">
          <a:alpha val="20000"/>
        </a:sys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[Safty_data_Injury_Plant(AutoRecovered).xlsx]PIVOT!PivotTable15</c:name>
    <c:fmtId val="0"/>
  </c:pivotSource>
  <c:chart>
    <c:title>
      <c:tx>
        <c:rich>
          <a:bodyPr/>
          <a:lstStyle/>
          <a:p>
            <a:pPr>
              <a:defRPr/>
            </a:pPr>
            <a:r>
              <a:rPr lang="en-US" sz="1200"/>
              <a:t>7. SHIFT- WISE INCIDENT</a:t>
            </a:r>
          </a:p>
        </c:rich>
      </c:tx>
      <c:layout>
        <c:manualLayout>
          <c:xMode val="edge"/>
          <c:yMode val="edge"/>
          <c:x val="0.17546727113656246"/>
          <c:y val="0"/>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60000"/>
                <a:lumOff val="40000"/>
              </a:schemeClr>
            </a:solidFill>
          </a:ln>
        </c:spPr>
      </c:pivotFmt>
      <c:pivotFmt>
        <c:idx val="2"/>
        <c:spPr>
          <a:solidFill>
            <a:srgbClr val="00B050"/>
          </a:solidFill>
          <a:ln>
            <a:solidFill>
              <a:srgbClr val="00B050"/>
            </a:solidFill>
          </a:ln>
        </c:spPr>
      </c:pivotFmt>
      <c:pivotFmt>
        <c:idx val="3"/>
        <c:spPr>
          <a:solidFill>
            <a:srgbClr val="0070C0"/>
          </a:solidFill>
          <a:ln>
            <a:solidFill>
              <a:srgbClr val="0070C0"/>
            </a:solidFill>
          </a:ln>
        </c:spPr>
      </c:pivotFmt>
    </c:pivotFmts>
    <c:plotArea>
      <c:layout/>
      <c:barChart>
        <c:barDir val="col"/>
        <c:grouping val="clustered"/>
        <c:varyColors val="0"/>
        <c:ser>
          <c:idx val="0"/>
          <c:order val="0"/>
          <c:tx>
            <c:strRef>
              <c:f>PIVOT!$AC$2</c:f>
              <c:strCache>
                <c:ptCount val="1"/>
                <c:pt idx="0">
                  <c:v>Total</c:v>
                </c:pt>
              </c:strCache>
            </c:strRef>
          </c:tx>
          <c:invertIfNegative val="0"/>
          <c:dPt>
            <c:idx val="0"/>
            <c:invertIfNegative val="0"/>
            <c:bubble3D val="0"/>
            <c:spPr>
              <a:solidFill>
                <a:srgbClr val="00B050"/>
              </a:solidFill>
              <a:ln>
                <a:solidFill>
                  <a:srgbClr val="00B050"/>
                </a:solidFill>
              </a:ln>
            </c:spPr>
            <c:extLst>
              <c:ext xmlns:c16="http://schemas.microsoft.com/office/drawing/2014/chart" uri="{C3380CC4-5D6E-409C-BE32-E72D297353CC}">
                <c16:uniqueId val="{00000001-2B83-44E6-9E84-191BA2191D98}"/>
              </c:ext>
            </c:extLst>
          </c:dPt>
          <c:dPt>
            <c:idx val="1"/>
            <c:invertIfNegative val="0"/>
            <c:bubble3D val="0"/>
            <c:spPr>
              <a:solidFill>
                <a:srgbClr val="0070C0"/>
              </a:solidFill>
              <a:ln>
                <a:solidFill>
                  <a:srgbClr val="0070C0"/>
                </a:solidFill>
              </a:ln>
            </c:spPr>
            <c:extLst>
              <c:ext xmlns:c16="http://schemas.microsoft.com/office/drawing/2014/chart" uri="{C3380CC4-5D6E-409C-BE32-E72D297353CC}">
                <c16:uniqueId val="{00000003-2B83-44E6-9E84-191BA2191D98}"/>
              </c:ext>
            </c:extLst>
          </c:dPt>
          <c:dPt>
            <c:idx val="2"/>
            <c:invertIfNegative val="0"/>
            <c:bubble3D val="0"/>
            <c:spPr>
              <a:solidFill>
                <a:schemeClr val="accent5">
                  <a:lumMod val="75000"/>
                </a:schemeClr>
              </a:solidFill>
              <a:ln>
                <a:solidFill>
                  <a:schemeClr val="accent5">
                    <a:lumMod val="60000"/>
                    <a:lumOff val="40000"/>
                  </a:schemeClr>
                </a:solidFill>
              </a:ln>
            </c:spPr>
            <c:extLst>
              <c:ext xmlns:c16="http://schemas.microsoft.com/office/drawing/2014/chart" uri="{C3380CC4-5D6E-409C-BE32-E72D297353CC}">
                <c16:uniqueId val="{00000005-2B83-44E6-9E84-191BA2191D98}"/>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PIVOT!$AB$3:$AB$6</c:f>
              <c:strCache>
                <c:ptCount val="3"/>
                <c:pt idx="0">
                  <c:v>Day</c:v>
                </c:pt>
                <c:pt idx="1">
                  <c:v>Night</c:v>
                </c:pt>
                <c:pt idx="2">
                  <c:v>Afternoon</c:v>
                </c:pt>
              </c:strCache>
            </c:strRef>
          </c:cat>
          <c:val>
            <c:numRef>
              <c:f>PIVOT!$AC$3:$AC$6</c:f>
              <c:numCache>
                <c:formatCode>General</c:formatCode>
                <c:ptCount val="3"/>
                <c:pt idx="0">
                  <c:v>178</c:v>
                </c:pt>
                <c:pt idx="1">
                  <c:v>176</c:v>
                </c:pt>
                <c:pt idx="2">
                  <c:v>160</c:v>
                </c:pt>
              </c:numCache>
            </c:numRef>
          </c:val>
          <c:extLst>
            <c:ext xmlns:c16="http://schemas.microsoft.com/office/drawing/2014/chart" uri="{C3380CC4-5D6E-409C-BE32-E72D297353CC}">
              <c16:uniqueId val="{00000006-2B83-44E6-9E84-191BA2191D98}"/>
            </c:ext>
          </c:extLst>
        </c:ser>
        <c:dLbls>
          <c:dLblPos val="outEnd"/>
          <c:showLegendKey val="0"/>
          <c:showVal val="1"/>
          <c:showCatName val="0"/>
          <c:showSerName val="0"/>
          <c:showPercent val="0"/>
          <c:showBubbleSize val="0"/>
        </c:dLbls>
        <c:gapWidth val="150"/>
        <c:axId val="194163456"/>
        <c:axId val="194167552"/>
      </c:barChart>
      <c:catAx>
        <c:axId val="194163456"/>
        <c:scaling>
          <c:orientation val="minMax"/>
        </c:scaling>
        <c:delete val="0"/>
        <c:axPos val="b"/>
        <c:numFmt formatCode="General" sourceLinked="0"/>
        <c:majorTickMark val="none"/>
        <c:minorTickMark val="none"/>
        <c:tickLblPos val="nextTo"/>
        <c:crossAx val="194167552"/>
        <c:crosses val="autoZero"/>
        <c:auto val="1"/>
        <c:lblAlgn val="ctr"/>
        <c:lblOffset val="100"/>
        <c:noMultiLvlLbl val="0"/>
      </c:catAx>
      <c:valAx>
        <c:axId val="194167552"/>
        <c:scaling>
          <c:orientation val="minMax"/>
        </c:scaling>
        <c:delete val="0"/>
        <c:axPos val="l"/>
        <c:numFmt formatCode="General" sourceLinked="1"/>
        <c:majorTickMark val="none"/>
        <c:minorTickMark val="none"/>
        <c:tickLblPos val="nextTo"/>
        <c:crossAx val="1941634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[Safty_data_Injury_Plant(AutoRecovered).xlsx]PIVOT!PivotTable16</c:name>
    <c:fmtId val="0"/>
  </c:pivotSource>
  <c:chart>
    <c:title>
      <c:tx>
        <c:rich>
          <a:bodyPr/>
          <a:lstStyle/>
          <a:p>
            <a:pPr>
              <a:defRPr/>
            </a:pPr>
            <a:r>
              <a:rPr lang="en-US" sz="1100" b="1">
                <a:solidFill>
                  <a:srgbClr val="7030A0"/>
                </a:solidFill>
              </a:rPr>
              <a:t>8. AGE GROUP vs INCIDENT</a:t>
            </a:r>
          </a:p>
        </c:rich>
      </c:tx>
      <c:layout>
        <c:manualLayout>
          <c:xMode val="edge"/>
          <c:yMode val="edge"/>
          <c:x val="0.17990063233965672"/>
          <c:y val="4.623532378737358E-3"/>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c:spPr>
      </c:pivotFmt>
      <c:pivotFmt>
        <c:idx val="2"/>
        <c:spPr>
          <a:solidFill>
            <a:srgbClr val="FFC000"/>
          </a:solidFill>
        </c:spPr>
      </c:pivotFmt>
      <c:pivotFmt>
        <c:idx val="3"/>
        <c:spPr>
          <a:solidFill>
            <a:schemeClr val="accent5">
              <a:lumMod val="75000"/>
            </a:schemeClr>
          </a:solidFill>
        </c:spPr>
      </c:pivotFmt>
      <c:pivotFmt>
        <c:idx val="4"/>
        <c:spPr>
          <a:solidFill>
            <a:srgbClr val="0070C0"/>
          </a:solidFill>
        </c:spPr>
      </c:pivotFmt>
      <c:pivotFmt>
        <c:idx val="5"/>
        <c:spPr>
          <a:solidFill>
            <a:srgbClr val="00B050"/>
          </a:solidFill>
        </c:spPr>
      </c:pivotFmt>
    </c:pivotFmts>
    <c:plotArea>
      <c:layout/>
      <c:barChart>
        <c:barDir val="col"/>
        <c:grouping val="clustered"/>
        <c:varyColors val="0"/>
        <c:ser>
          <c:idx val="0"/>
          <c:order val="0"/>
          <c:tx>
            <c:strRef>
              <c:f>PIVOT!$AC$12</c:f>
              <c:strCache>
                <c:ptCount val="1"/>
                <c:pt idx="0">
                  <c:v>Total</c:v>
                </c:pt>
              </c:strCache>
            </c:strRef>
          </c:tx>
          <c:invertIfNegative val="0"/>
          <c:dPt>
            <c:idx val="0"/>
            <c:invertIfNegative val="0"/>
            <c:bubble3D val="0"/>
            <c:spPr>
              <a:solidFill>
                <a:srgbClr val="0070C0"/>
              </a:solidFill>
            </c:spPr>
            <c:extLst>
              <c:ext xmlns:c16="http://schemas.microsoft.com/office/drawing/2014/chart" uri="{C3380CC4-5D6E-409C-BE32-E72D297353CC}">
                <c16:uniqueId val="{00000001-B99A-4450-AED0-74C3238B0586}"/>
              </c:ext>
            </c:extLst>
          </c:dPt>
          <c:dPt>
            <c:idx val="1"/>
            <c:invertIfNegative val="0"/>
            <c:bubble3D val="0"/>
            <c:spPr>
              <a:solidFill>
                <a:schemeClr val="accent5">
                  <a:lumMod val="75000"/>
                </a:schemeClr>
              </a:solidFill>
            </c:spPr>
            <c:extLst>
              <c:ext xmlns:c16="http://schemas.microsoft.com/office/drawing/2014/chart" uri="{C3380CC4-5D6E-409C-BE32-E72D297353CC}">
                <c16:uniqueId val="{00000003-B99A-4450-AED0-74C3238B0586}"/>
              </c:ext>
            </c:extLst>
          </c:dPt>
          <c:dPt>
            <c:idx val="2"/>
            <c:invertIfNegative val="0"/>
            <c:bubble3D val="0"/>
            <c:spPr>
              <a:solidFill>
                <a:srgbClr val="FF0000"/>
              </a:solidFill>
            </c:spPr>
            <c:extLst>
              <c:ext xmlns:c16="http://schemas.microsoft.com/office/drawing/2014/chart" uri="{C3380CC4-5D6E-409C-BE32-E72D297353CC}">
                <c16:uniqueId val="{00000005-B99A-4450-AED0-74C3238B0586}"/>
              </c:ext>
            </c:extLst>
          </c:dPt>
          <c:dPt>
            <c:idx val="3"/>
            <c:invertIfNegative val="0"/>
            <c:bubble3D val="0"/>
            <c:spPr>
              <a:solidFill>
                <a:srgbClr val="FFC000"/>
              </a:solidFill>
            </c:spPr>
            <c:extLst>
              <c:ext xmlns:c16="http://schemas.microsoft.com/office/drawing/2014/chart" uri="{C3380CC4-5D6E-409C-BE32-E72D297353CC}">
                <c16:uniqueId val="{00000007-B99A-4450-AED0-74C3238B0586}"/>
              </c:ext>
            </c:extLst>
          </c:dPt>
          <c:dPt>
            <c:idx val="4"/>
            <c:invertIfNegative val="0"/>
            <c:bubble3D val="0"/>
            <c:spPr>
              <a:solidFill>
                <a:srgbClr val="00B050"/>
              </a:solidFill>
            </c:spPr>
            <c:extLst>
              <c:ext xmlns:c16="http://schemas.microsoft.com/office/drawing/2014/chart" uri="{C3380CC4-5D6E-409C-BE32-E72D297353CC}">
                <c16:uniqueId val="{00000009-B99A-4450-AED0-74C3238B0586}"/>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PIVOT!$AB$13:$AB$18</c:f>
              <c:strCache>
                <c:ptCount val="5"/>
                <c:pt idx="0">
                  <c:v>18-25</c:v>
                </c:pt>
                <c:pt idx="1">
                  <c:v>26-35</c:v>
                </c:pt>
                <c:pt idx="2">
                  <c:v>36-45</c:v>
                </c:pt>
                <c:pt idx="3">
                  <c:v>46-55</c:v>
                </c:pt>
                <c:pt idx="4">
                  <c:v>56-65</c:v>
                </c:pt>
              </c:strCache>
            </c:strRef>
          </c:cat>
          <c:val>
            <c:numRef>
              <c:f>PIVOT!$AC$13:$AC$18</c:f>
              <c:numCache>
                <c:formatCode>General</c:formatCode>
                <c:ptCount val="5"/>
                <c:pt idx="0">
                  <c:v>21</c:v>
                </c:pt>
                <c:pt idx="1">
                  <c:v>141</c:v>
                </c:pt>
                <c:pt idx="2">
                  <c:v>141</c:v>
                </c:pt>
                <c:pt idx="3">
                  <c:v>141</c:v>
                </c:pt>
                <c:pt idx="4">
                  <c:v>70</c:v>
                </c:pt>
              </c:numCache>
            </c:numRef>
          </c:val>
          <c:extLst>
            <c:ext xmlns:c16="http://schemas.microsoft.com/office/drawing/2014/chart" uri="{C3380CC4-5D6E-409C-BE32-E72D297353CC}">
              <c16:uniqueId val="{0000000A-B99A-4450-AED0-74C3238B0586}"/>
            </c:ext>
          </c:extLst>
        </c:ser>
        <c:dLbls>
          <c:showLegendKey val="0"/>
          <c:showVal val="0"/>
          <c:showCatName val="0"/>
          <c:showSerName val="0"/>
          <c:showPercent val="0"/>
          <c:showBubbleSize val="0"/>
        </c:dLbls>
        <c:gapWidth val="150"/>
        <c:axId val="194212992"/>
        <c:axId val="194214528"/>
      </c:barChart>
      <c:catAx>
        <c:axId val="194212992"/>
        <c:scaling>
          <c:orientation val="minMax"/>
        </c:scaling>
        <c:delete val="0"/>
        <c:axPos val="b"/>
        <c:numFmt formatCode="General" sourceLinked="0"/>
        <c:majorTickMark val="out"/>
        <c:minorTickMark val="none"/>
        <c:tickLblPos val="nextTo"/>
        <c:crossAx val="194214528"/>
        <c:crosses val="autoZero"/>
        <c:auto val="1"/>
        <c:lblAlgn val="ctr"/>
        <c:lblOffset val="100"/>
        <c:noMultiLvlLbl val="0"/>
      </c:catAx>
      <c:valAx>
        <c:axId val="194214528"/>
        <c:scaling>
          <c:orientation val="minMax"/>
        </c:scaling>
        <c:delete val="0"/>
        <c:axPos val="l"/>
        <c:numFmt formatCode="General" sourceLinked="1"/>
        <c:majorTickMark val="out"/>
        <c:minorTickMark val="none"/>
        <c:tickLblPos val="nextTo"/>
        <c:crossAx val="1942129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[Safty_data_Injury_Plant(AutoRecovered).xlsx]PIVOT!PivotTable17</c:name>
    <c:fmtId val="0"/>
  </c:pivotSource>
  <c:chart>
    <c:title>
      <c:tx>
        <c:rich>
          <a:bodyPr/>
          <a:lstStyle/>
          <a:p>
            <a:pPr>
              <a:defRPr/>
            </a:pPr>
            <a:r>
              <a:rPr lang="en-US" sz="1100">
                <a:solidFill>
                  <a:srgbClr val="7030A0"/>
                </a:solidFill>
              </a:rPr>
              <a:t>9. DAYS LOST BY PLANT</a:t>
            </a:r>
          </a:p>
        </c:rich>
      </c:tx>
      <c:layout>
        <c:manualLayout>
          <c:xMode val="edge"/>
          <c:yMode val="edge"/>
          <c:x val="2.2804877026154486E-2"/>
          <c:y val="4.6296296296296294E-3"/>
        </c:manualLayout>
      </c:layout>
      <c:overlay val="0"/>
    </c:title>
    <c:autoTitleDeleted val="0"/>
    <c:pivotFmts>
      <c:pivotFmt>
        <c:idx val="0"/>
        <c:spPr>
          <a:solidFill>
            <a:srgbClr val="7030A0"/>
          </a:solidFill>
        </c:spPr>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PIVOT!$AC$24</c:f>
              <c:strCache>
                <c:ptCount val="1"/>
                <c:pt idx="0">
                  <c:v>Total</c:v>
                </c:pt>
              </c:strCache>
            </c:strRef>
          </c:tx>
          <c:spPr>
            <a:solidFill>
              <a:srgbClr val="7030A0"/>
            </a:solidFill>
          </c:spPr>
          <c:invertIfNegative val="0"/>
          <c:dLbls>
            <c:spPr/>
            <c:txPr>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PIVOT!$AB$25:$AB$34</c:f>
              <c:strCache>
                <c:ptCount val="9"/>
                <c:pt idx="0">
                  <c:v>Hyderabad</c:v>
                </c:pt>
                <c:pt idx="1">
                  <c:v>Bangalore</c:v>
                </c:pt>
                <c:pt idx="2">
                  <c:v>Trivandrum</c:v>
                </c:pt>
                <c:pt idx="3">
                  <c:v>Kolkata</c:v>
                </c:pt>
                <c:pt idx="4">
                  <c:v>Jaipur</c:v>
                </c:pt>
                <c:pt idx="5">
                  <c:v>Chennai</c:v>
                </c:pt>
                <c:pt idx="6">
                  <c:v>Delhi</c:v>
                </c:pt>
                <c:pt idx="7">
                  <c:v>Mumbai</c:v>
                </c:pt>
                <c:pt idx="8">
                  <c:v>Bhopal</c:v>
                </c:pt>
              </c:strCache>
            </c:strRef>
          </c:cat>
          <c:val>
            <c:numRef>
              <c:f>PIVOT!$AC$25:$AC$34</c:f>
              <c:numCache>
                <c:formatCode>General</c:formatCode>
                <c:ptCount val="9"/>
                <c:pt idx="0">
                  <c:v>56.5</c:v>
                </c:pt>
                <c:pt idx="1">
                  <c:v>46</c:v>
                </c:pt>
                <c:pt idx="2">
                  <c:v>44.5</c:v>
                </c:pt>
                <c:pt idx="3">
                  <c:v>43.5</c:v>
                </c:pt>
                <c:pt idx="4">
                  <c:v>43.5</c:v>
                </c:pt>
                <c:pt idx="5">
                  <c:v>38.5</c:v>
                </c:pt>
                <c:pt idx="6">
                  <c:v>38.5</c:v>
                </c:pt>
                <c:pt idx="7">
                  <c:v>36.5</c:v>
                </c:pt>
                <c:pt idx="8">
                  <c:v>31</c:v>
                </c:pt>
              </c:numCache>
            </c:numRef>
          </c:val>
          <c:extLst>
            <c:ext xmlns:c16="http://schemas.microsoft.com/office/drawing/2014/chart" uri="{C3380CC4-5D6E-409C-BE32-E72D297353CC}">
              <c16:uniqueId val="{00000000-9E92-4004-8D53-B30A091B931E}"/>
            </c:ext>
          </c:extLst>
        </c:ser>
        <c:dLbls>
          <c:showLegendKey val="0"/>
          <c:showVal val="0"/>
          <c:showCatName val="0"/>
          <c:showSerName val="0"/>
          <c:showPercent val="0"/>
          <c:showBubbleSize val="0"/>
        </c:dLbls>
        <c:gapWidth val="39"/>
        <c:axId val="194229376"/>
        <c:axId val="194230912"/>
      </c:barChart>
      <c:catAx>
        <c:axId val="194229376"/>
        <c:scaling>
          <c:orientation val="minMax"/>
        </c:scaling>
        <c:delete val="0"/>
        <c:axPos val="b"/>
        <c:numFmt formatCode="General" sourceLinked="0"/>
        <c:majorTickMark val="out"/>
        <c:minorTickMark val="none"/>
        <c:tickLblPos val="nextTo"/>
        <c:txPr>
          <a:bodyPr/>
          <a:lstStyle/>
          <a:p>
            <a:pPr>
              <a:defRPr sz="800"/>
            </a:pPr>
            <a:endParaRPr lang="en-US"/>
          </a:p>
        </c:txPr>
        <c:crossAx val="194230912"/>
        <c:crosses val="autoZero"/>
        <c:auto val="1"/>
        <c:lblAlgn val="ctr"/>
        <c:lblOffset val="100"/>
        <c:noMultiLvlLbl val="0"/>
      </c:catAx>
      <c:valAx>
        <c:axId val="194230912"/>
        <c:scaling>
          <c:orientation val="minMax"/>
        </c:scaling>
        <c:delete val="0"/>
        <c:axPos val="l"/>
        <c:numFmt formatCode="General" sourceLinked="1"/>
        <c:majorTickMark val="out"/>
        <c:minorTickMark val="none"/>
        <c:tickLblPos val="nextTo"/>
        <c:txPr>
          <a:bodyPr/>
          <a:lstStyle/>
          <a:p>
            <a:pPr>
              <a:defRPr sz="800"/>
            </a:pPr>
            <a:endParaRPr lang="en-US"/>
          </a:p>
        </c:txPr>
        <c:crossAx val="1942293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[Safty_data_Injury_Plant(AutoRecovered).xlsx]PIVOT!PivotTable9</c:name>
    <c:fmtId val="4"/>
  </c:pivotSource>
  <c:chart>
    <c:title>
      <c:tx>
        <c:rich>
          <a:bodyPr/>
          <a:lstStyle/>
          <a:p>
            <a:pPr algn="l">
              <a:defRPr/>
            </a:pPr>
            <a:r>
              <a:rPr lang="en-US" sz="1100">
                <a:solidFill>
                  <a:schemeClr val="tx2"/>
                </a:solidFill>
              </a:rPr>
              <a:t>1. INCIDENT OVER TIME ( Monthly Trend)</a:t>
            </a:r>
          </a:p>
        </c:rich>
      </c:tx>
      <c:layout>
        <c:manualLayout>
          <c:xMode val="edge"/>
          <c:yMode val="edge"/>
          <c:x val="2.6843185482317844E-2"/>
          <c:y val="0"/>
        </c:manualLayout>
      </c:layout>
      <c:overlay val="0"/>
    </c:title>
    <c:autoTitleDeleted val="0"/>
    <c:pivotFmts>
      <c:pivotFmt>
        <c:idx val="0"/>
        <c:marker>
          <c:symbol val="circle"/>
          <c:size val="5"/>
        </c:marker>
      </c:pivotFmt>
      <c:pivotFmt>
        <c:idx val="1"/>
      </c:pivotFmt>
      <c:pivotFmt>
        <c:idx val="2"/>
        <c:marker>
          <c:symbol val="circle"/>
          <c:size val="5"/>
        </c:marker>
      </c:pivotFmt>
      <c:pivotFmt>
        <c:idx val="3"/>
        <c:marker>
          <c:symbol val="circle"/>
          <c:size val="5"/>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c:v>
                </c:pt>
              </c:strCache>
            </c:strRef>
          </c:tx>
          <c:marker>
            <c:symbol val="circle"/>
            <c:size val="5"/>
          </c:marker>
          <c:cat>
            <c:strRef>
              <c:f>PIVOT!$A$3:$A$15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PIVOT!$B$3:$B$15</c:f>
              <c:numCache>
                <c:formatCode>General</c:formatCode>
                <c:ptCount val="12"/>
                <c:pt idx="0">
                  <c:v>53</c:v>
                </c:pt>
                <c:pt idx="1">
                  <c:v>55</c:v>
                </c:pt>
                <c:pt idx="2">
                  <c:v>40</c:v>
                </c:pt>
                <c:pt idx="3">
                  <c:v>56</c:v>
                </c:pt>
                <c:pt idx="4">
                  <c:v>54</c:v>
                </c:pt>
                <c:pt idx="5">
                  <c:v>53</c:v>
                </c:pt>
                <c:pt idx="6">
                  <c:v>35</c:v>
                </c:pt>
                <c:pt idx="7">
                  <c:v>40</c:v>
                </c:pt>
                <c:pt idx="8">
                  <c:v>26</c:v>
                </c:pt>
                <c:pt idx="9">
                  <c:v>35</c:v>
                </c:pt>
                <c:pt idx="10">
                  <c:v>32</c:v>
                </c:pt>
                <c:pt idx="11">
                  <c:v>35</c:v>
                </c:pt>
              </c:numCache>
            </c:numRef>
          </c:val>
          <c:smooth val="0"/>
          <c:extLst>
            <c:ext xmlns:c16="http://schemas.microsoft.com/office/drawing/2014/chart" uri="{C3380CC4-5D6E-409C-BE32-E72D297353CC}">
              <c16:uniqueId val="{00000000-567D-46D3-A0CC-DFE2D71C2093}"/>
            </c:ext>
          </c:extLst>
        </c:ser>
        <c:dLbls>
          <c:showLegendKey val="0"/>
          <c:showVal val="0"/>
          <c:showCatName val="0"/>
          <c:showSerName val="0"/>
          <c:showPercent val="0"/>
          <c:showBubbleSize val="0"/>
        </c:dLbls>
        <c:marker val="1"/>
        <c:smooth val="0"/>
        <c:axId val="193228800"/>
        <c:axId val="193230336"/>
      </c:lineChart>
      <c:catAx>
        <c:axId val="193228800"/>
        <c:scaling>
          <c:orientation val="minMax"/>
        </c:scaling>
        <c:delete val="0"/>
        <c:axPos val="b"/>
        <c:numFmt formatCode="General" sourceLinked="0"/>
        <c:majorTickMark val="none"/>
        <c:minorTickMark val="none"/>
        <c:tickLblPos val="nextTo"/>
        <c:txPr>
          <a:bodyPr/>
          <a:lstStyle/>
          <a:p>
            <a:pPr>
              <a:defRPr sz="800" b="1"/>
            </a:pPr>
            <a:endParaRPr lang="en-US"/>
          </a:p>
        </c:txPr>
        <c:crossAx val="193230336"/>
        <c:crosses val="autoZero"/>
        <c:auto val="1"/>
        <c:lblAlgn val="ctr"/>
        <c:lblOffset val="100"/>
        <c:noMultiLvlLbl val="0"/>
      </c:catAx>
      <c:valAx>
        <c:axId val="193230336"/>
        <c:scaling>
          <c:orientation val="minMax"/>
        </c:scaling>
        <c:delete val="0"/>
        <c:axPos val="l"/>
        <c:numFmt formatCode="General" sourceLinked="1"/>
        <c:majorTickMark val="none"/>
        <c:minorTickMark val="none"/>
        <c:tickLblPos val="nextTo"/>
        <c:spPr>
          <a:ln w="9525">
            <a:noFill/>
          </a:ln>
        </c:spPr>
        <c:txPr>
          <a:bodyPr/>
          <a:lstStyle/>
          <a:p>
            <a:pPr>
              <a:defRPr sz="800"/>
            </a:pPr>
            <a:endParaRPr lang="en-US"/>
          </a:p>
        </c:txPr>
        <c:crossAx val="193228800"/>
        <c:crosses val="autoZero"/>
        <c:crossBetween val="between"/>
      </c:valAx>
      <c:spPr>
        <a:noFill/>
        <a:ln w="25400">
          <a:noFill/>
        </a:ln>
        <a:effectLst>
          <a:softEdge rad="0"/>
        </a:effectLst>
      </c:spPr>
    </c:plotArea>
    <c:plotVisOnly val="1"/>
    <c:dispBlanksAs val="gap"/>
    <c:showDLblsOverMax val="0"/>
  </c:chart>
  <c:spPr>
    <a:ln>
      <a:solidFill>
        <a:sysClr val="windowText" lastClr="000000">
          <a:alpha val="30000"/>
        </a:sys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[Safty_data_Injury_Plant(AutoRecovered).xlsx]PIVOT!PivotTable10</c:name>
    <c:fmtId val="6"/>
  </c:pivotSource>
  <c:chart>
    <c:title>
      <c:tx>
        <c:rich>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r>
              <a:rPr lang="en-US" sz="1200">
                <a:solidFill>
                  <a:srgbClr val="00B050"/>
                </a:solidFill>
              </a:rPr>
              <a:t>2. INCIDENT COST OVER TIME (Monthly Trend)</a:t>
            </a:r>
          </a:p>
        </c:rich>
      </c:tx>
      <c:layout>
        <c:manualLayout>
          <c:xMode val="edge"/>
          <c:yMode val="edge"/>
          <c:x val="2.5000000000000001E-2"/>
          <c:y val="6.9444444444444441E-3"/>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bg1"/>
            </a:solidFill>
            <a:prstDash val="sysDash"/>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bg1"/>
              </a:solidFill>
              <a:prstDash val="sysDash"/>
            </a:ln>
            <a:effectLst>
              <a:outerShdw blurRad="40000" dist="23000" dir="5400000" rotWithShape="0">
                <a:srgbClr val="000000">
                  <a:alpha val="35000"/>
                </a:srgbClr>
              </a:outerShdw>
            </a:effectLst>
          </c:spP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PIVOT!$B$19:$B$31</c:f>
              <c:numCache>
                <c:formatCode>General</c:formatCode>
                <c:ptCount val="12"/>
                <c:pt idx="0">
                  <c:v>63033</c:v>
                </c:pt>
                <c:pt idx="1">
                  <c:v>81133</c:v>
                </c:pt>
                <c:pt idx="2">
                  <c:v>63428</c:v>
                </c:pt>
                <c:pt idx="3">
                  <c:v>84766</c:v>
                </c:pt>
                <c:pt idx="4">
                  <c:v>58728</c:v>
                </c:pt>
                <c:pt idx="5">
                  <c:v>64087</c:v>
                </c:pt>
                <c:pt idx="6">
                  <c:v>69669</c:v>
                </c:pt>
                <c:pt idx="7">
                  <c:v>44947</c:v>
                </c:pt>
                <c:pt idx="8">
                  <c:v>35339</c:v>
                </c:pt>
                <c:pt idx="9">
                  <c:v>45447</c:v>
                </c:pt>
                <c:pt idx="10">
                  <c:v>50504</c:v>
                </c:pt>
                <c:pt idx="11">
                  <c:v>56714</c:v>
                </c:pt>
              </c:numCache>
            </c:numRef>
          </c:val>
          <c:extLst>
            <c:ext xmlns:c16="http://schemas.microsoft.com/office/drawing/2014/chart" uri="{C3380CC4-5D6E-409C-BE32-E72D297353CC}">
              <c16:uniqueId val="{00000000-C15E-480C-86D1-87D92AF6C653}"/>
            </c:ext>
          </c:extLst>
        </c:ser>
        <c:dLbls>
          <c:showLegendKey val="0"/>
          <c:showVal val="0"/>
          <c:showCatName val="0"/>
          <c:showSerName val="0"/>
          <c:showPercent val="0"/>
          <c:showBubbleSize val="0"/>
        </c:dLbls>
        <c:axId val="193267968"/>
        <c:axId val="193282048"/>
      </c:areaChart>
      <c:catAx>
        <c:axId val="193267968"/>
        <c:scaling>
          <c:orientation val="minMax"/>
        </c:scaling>
        <c:delete val="0"/>
        <c:axPos val="b"/>
        <c:numFmt formatCode="General" sourceLinked="0"/>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82048"/>
        <c:crossesAt val="0"/>
        <c:auto val="1"/>
        <c:lblAlgn val="ctr"/>
        <c:lblOffset val="100"/>
        <c:noMultiLvlLbl val="0"/>
      </c:catAx>
      <c:valAx>
        <c:axId val="193282048"/>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67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[Safty_data_Injury_Plant(AutoRecovered).xlsx]PIVOT!PivotTable11</c:name>
    <c:fmtId val="2"/>
  </c:pivotSource>
  <c:chart>
    <c:title>
      <c:tx>
        <c:rich>
          <a:bodyPr/>
          <a:lstStyle/>
          <a:p>
            <a:pPr>
              <a:defRPr/>
            </a:pPr>
            <a:r>
              <a:rPr lang="en-US" sz="1100">
                <a:solidFill>
                  <a:srgbClr val="0070C0"/>
                </a:solidFill>
              </a:rPr>
              <a:t>3. INCIDENT  BY PLANT</a:t>
            </a:r>
          </a:p>
        </c:rich>
      </c:tx>
      <c:layout>
        <c:manualLayout>
          <c:xMode val="edge"/>
          <c:yMode val="edge"/>
          <c:x val="4.704171823434062E-2"/>
          <c:y val="0"/>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c:spPr>
      </c:pivotFmt>
      <c:pivotFmt>
        <c:idx val="2"/>
        <c:spPr>
          <a:solidFill>
            <a:schemeClr val="accent5">
              <a:lumMod val="75000"/>
            </a:schemeClr>
          </a:solidFill>
        </c:spPr>
      </c:pivotFmt>
      <c:pivotFmt>
        <c:idx val="3"/>
        <c:spPr>
          <a:solidFill>
            <a:srgbClr val="FF0000"/>
          </a:solidFill>
        </c:spPr>
      </c:pivotFmt>
      <c:pivotFmt>
        <c:idx val="4"/>
        <c:spPr>
          <a:solidFill>
            <a:srgbClr val="00B050"/>
          </a:solidFill>
        </c:spPr>
      </c:pivotFmt>
      <c:pivotFmt>
        <c:idx val="5"/>
        <c:spPr>
          <a:solidFill>
            <a:srgbClr val="0070C0"/>
          </a:solidFill>
        </c:spPr>
      </c:pivotFmt>
      <c:pivotFmt>
        <c:idx val="6"/>
        <c:spPr>
          <a:solidFill>
            <a:srgbClr val="FFC000"/>
          </a:solidFill>
        </c:spPr>
      </c:pivotFmt>
      <c:pivotFmt>
        <c:idx val="7"/>
        <c:spPr>
          <a:solidFill>
            <a:srgbClr val="7030A0"/>
          </a:solidFill>
        </c:spPr>
      </c:pivotFmt>
      <c:pivotFmt>
        <c:idx val="8"/>
        <c:spPr>
          <a:solidFill>
            <a:schemeClr val="accent5">
              <a:lumMod val="75000"/>
            </a:schemeClr>
          </a:solidFill>
        </c:spPr>
      </c:pivotFmt>
      <c:pivotFmt>
        <c:idx val="9"/>
        <c:spPr>
          <a:solidFill>
            <a:srgbClr val="00B0F0"/>
          </a:solidFill>
        </c:spPr>
      </c:pivotFmt>
      <c:pivotFmt>
        <c:idx val="1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c:spPr>
      </c:pivotFmt>
      <c:pivotFmt>
        <c:idx val="12"/>
        <c:spPr>
          <a:solidFill>
            <a:schemeClr val="accent5">
              <a:lumMod val="75000"/>
            </a:schemeClr>
          </a:solidFill>
        </c:spPr>
      </c:pivotFmt>
      <c:pivotFmt>
        <c:idx val="13"/>
        <c:spPr>
          <a:solidFill>
            <a:schemeClr val="accent5">
              <a:lumMod val="75000"/>
            </a:schemeClr>
          </a:solidFill>
        </c:spPr>
      </c:pivotFmt>
      <c:pivotFmt>
        <c:idx val="14"/>
        <c:spPr>
          <a:solidFill>
            <a:srgbClr val="7030A0"/>
          </a:solidFill>
        </c:spPr>
      </c:pivotFmt>
      <c:pivotFmt>
        <c:idx val="15"/>
        <c:spPr>
          <a:solidFill>
            <a:srgbClr val="7030A0"/>
          </a:solidFill>
        </c:spPr>
      </c:pivotFmt>
      <c:pivotFmt>
        <c:idx val="16"/>
        <c:spPr>
          <a:solidFill>
            <a:srgbClr val="FFC000"/>
          </a:solidFill>
        </c:spPr>
      </c:pivotFmt>
      <c:pivotFmt>
        <c:idx val="17"/>
        <c:spPr>
          <a:solidFill>
            <a:srgbClr val="00B050"/>
          </a:solidFill>
        </c:spPr>
      </c:pivotFmt>
      <c:pivotFmt>
        <c:idx val="18"/>
        <c:spPr>
          <a:solidFill>
            <a:srgbClr val="0070C0"/>
          </a:solidFill>
        </c:spPr>
      </c:pivotFmt>
      <c:pivotFmt>
        <c:idx val="19"/>
        <c:spPr>
          <a:solidFill>
            <a:srgbClr val="FF0000"/>
          </a:solidFill>
        </c:spPr>
      </c:pivotFmt>
      <c:pivotFmt>
        <c:idx val="2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F0"/>
          </a:solidFill>
        </c:spPr>
      </c:pivotFmt>
      <c:pivotFmt>
        <c:idx val="22"/>
        <c:spPr>
          <a:solidFill>
            <a:schemeClr val="accent5">
              <a:lumMod val="75000"/>
            </a:schemeClr>
          </a:solidFill>
        </c:spPr>
      </c:pivotFmt>
      <c:pivotFmt>
        <c:idx val="23"/>
        <c:spPr>
          <a:solidFill>
            <a:schemeClr val="accent5">
              <a:lumMod val="75000"/>
            </a:schemeClr>
          </a:solidFill>
        </c:spPr>
      </c:pivotFmt>
      <c:pivotFmt>
        <c:idx val="24"/>
        <c:spPr>
          <a:solidFill>
            <a:srgbClr val="7030A0"/>
          </a:solidFill>
        </c:spPr>
      </c:pivotFmt>
      <c:pivotFmt>
        <c:idx val="25"/>
        <c:spPr>
          <a:solidFill>
            <a:srgbClr val="7030A0"/>
          </a:solidFill>
        </c:spPr>
      </c:pivotFmt>
      <c:pivotFmt>
        <c:idx val="26"/>
        <c:spPr>
          <a:solidFill>
            <a:srgbClr val="FFC000"/>
          </a:solidFill>
        </c:spPr>
      </c:pivotFmt>
      <c:pivotFmt>
        <c:idx val="27"/>
        <c:spPr>
          <a:solidFill>
            <a:srgbClr val="00B050"/>
          </a:solidFill>
        </c:spPr>
      </c:pivotFmt>
      <c:pivotFmt>
        <c:idx val="28"/>
        <c:spPr>
          <a:solidFill>
            <a:srgbClr val="0070C0"/>
          </a:solidFill>
        </c:spPr>
      </c:pivotFmt>
      <c:pivotFmt>
        <c:idx val="29"/>
        <c:spPr>
          <a:solidFill>
            <a:srgbClr val="FF0000"/>
          </a:solidFill>
        </c:spPr>
      </c:pivotFmt>
    </c:pivotFmts>
    <c:plotArea>
      <c:layout/>
      <c:barChart>
        <c:barDir val="bar"/>
        <c:grouping val="clustered"/>
        <c:varyColors val="0"/>
        <c:ser>
          <c:idx val="0"/>
          <c:order val="0"/>
          <c:tx>
            <c:strRef>
              <c:f>PIVOT!$K$2</c:f>
              <c:strCache>
                <c:ptCount val="1"/>
                <c:pt idx="0">
                  <c:v>Total</c:v>
                </c:pt>
              </c:strCache>
            </c:strRef>
          </c:tx>
          <c:invertIfNegative val="0"/>
          <c:dPt>
            <c:idx val="0"/>
            <c:invertIfNegative val="0"/>
            <c:bubble3D val="0"/>
            <c:spPr>
              <a:solidFill>
                <a:srgbClr val="00B0F0"/>
              </a:solidFill>
            </c:spPr>
            <c:extLst>
              <c:ext xmlns:c16="http://schemas.microsoft.com/office/drawing/2014/chart" uri="{C3380CC4-5D6E-409C-BE32-E72D297353CC}">
                <c16:uniqueId val="{00000001-B60E-4A58-A185-4634CC65F711}"/>
              </c:ext>
            </c:extLst>
          </c:dPt>
          <c:dPt>
            <c:idx val="1"/>
            <c:invertIfNegative val="0"/>
            <c:bubble3D val="0"/>
            <c:spPr>
              <a:solidFill>
                <a:schemeClr val="accent5">
                  <a:lumMod val="75000"/>
                </a:schemeClr>
              </a:solidFill>
            </c:spPr>
            <c:extLst>
              <c:ext xmlns:c16="http://schemas.microsoft.com/office/drawing/2014/chart" uri="{C3380CC4-5D6E-409C-BE32-E72D297353CC}">
                <c16:uniqueId val="{00000003-B60E-4A58-A185-4634CC65F711}"/>
              </c:ext>
            </c:extLst>
          </c:dPt>
          <c:dPt>
            <c:idx val="2"/>
            <c:invertIfNegative val="0"/>
            <c:bubble3D val="0"/>
            <c:spPr>
              <a:solidFill>
                <a:schemeClr val="accent5">
                  <a:lumMod val="75000"/>
                </a:schemeClr>
              </a:solidFill>
            </c:spPr>
            <c:extLst>
              <c:ext xmlns:c16="http://schemas.microsoft.com/office/drawing/2014/chart" uri="{C3380CC4-5D6E-409C-BE32-E72D297353CC}">
                <c16:uniqueId val="{00000005-B60E-4A58-A185-4634CC65F711}"/>
              </c:ext>
            </c:extLst>
          </c:dPt>
          <c:dPt>
            <c:idx val="3"/>
            <c:invertIfNegative val="0"/>
            <c:bubble3D val="0"/>
            <c:spPr>
              <a:solidFill>
                <a:srgbClr val="7030A0"/>
              </a:solidFill>
            </c:spPr>
            <c:extLst>
              <c:ext xmlns:c16="http://schemas.microsoft.com/office/drawing/2014/chart" uri="{C3380CC4-5D6E-409C-BE32-E72D297353CC}">
                <c16:uniqueId val="{00000007-B60E-4A58-A185-4634CC65F711}"/>
              </c:ext>
            </c:extLst>
          </c:dPt>
          <c:dPt>
            <c:idx val="4"/>
            <c:invertIfNegative val="0"/>
            <c:bubble3D val="0"/>
            <c:spPr>
              <a:solidFill>
                <a:srgbClr val="7030A0"/>
              </a:solidFill>
            </c:spPr>
            <c:extLst>
              <c:ext xmlns:c16="http://schemas.microsoft.com/office/drawing/2014/chart" uri="{C3380CC4-5D6E-409C-BE32-E72D297353CC}">
                <c16:uniqueId val="{00000009-B60E-4A58-A185-4634CC65F711}"/>
              </c:ext>
            </c:extLst>
          </c:dPt>
          <c:dPt>
            <c:idx val="5"/>
            <c:invertIfNegative val="0"/>
            <c:bubble3D val="0"/>
            <c:spPr>
              <a:solidFill>
                <a:srgbClr val="FFC000"/>
              </a:solidFill>
            </c:spPr>
            <c:extLst>
              <c:ext xmlns:c16="http://schemas.microsoft.com/office/drawing/2014/chart" uri="{C3380CC4-5D6E-409C-BE32-E72D297353CC}">
                <c16:uniqueId val="{0000000B-B60E-4A58-A185-4634CC65F711}"/>
              </c:ext>
            </c:extLst>
          </c:dPt>
          <c:dPt>
            <c:idx val="6"/>
            <c:invertIfNegative val="0"/>
            <c:bubble3D val="0"/>
            <c:spPr>
              <a:solidFill>
                <a:srgbClr val="00B050"/>
              </a:solidFill>
            </c:spPr>
            <c:extLst>
              <c:ext xmlns:c16="http://schemas.microsoft.com/office/drawing/2014/chart" uri="{C3380CC4-5D6E-409C-BE32-E72D297353CC}">
                <c16:uniqueId val="{0000000D-B60E-4A58-A185-4634CC65F711}"/>
              </c:ext>
            </c:extLst>
          </c:dPt>
          <c:dPt>
            <c:idx val="7"/>
            <c:invertIfNegative val="0"/>
            <c:bubble3D val="0"/>
            <c:spPr>
              <a:solidFill>
                <a:srgbClr val="0070C0"/>
              </a:solidFill>
            </c:spPr>
            <c:extLst>
              <c:ext xmlns:c16="http://schemas.microsoft.com/office/drawing/2014/chart" uri="{C3380CC4-5D6E-409C-BE32-E72D297353CC}">
                <c16:uniqueId val="{0000000F-B60E-4A58-A185-4634CC65F711}"/>
              </c:ext>
            </c:extLst>
          </c:dPt>
          <c:dPt>
            <c:idx val="8"/>
            <c:invertIfNegative val="0"/>
            <c:bubble3D val="0"/>
            <c:spPr>
              <a:solidFill>
                <a:srgbClr val="FF0000"/>
              </a:solidFill>
            </c:spPr>
            <c:extLst>
              <c:ext xmlns:c16="http://schemas.microsoft.com/office/drawing/2014/chart" uri="{C3380CC4-5D6E-409C-BE32-E72D297353CC}">
                <c16:uniqueId val="{00000011-B60E-4A58-A185-4634CC65F711}"/>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PIVOT!$J$3:$J$12</c:f>
              <c:strCache>
                <c:ptCount val="9"/>
                <c:pt idx="0">
                  <c:v>Bangalore</c:v>
                </c:pt>
                <c:pt idx="1">
                  <c:v>Delhi</c:v>
                </c:pt>
                <c:pt idx="2">
                  <c:v>Mumbai</c:v>
                </c:pt>
                <c:pt idx="3">
                  <c:v>Hyderabad</c:v>
                </c:pt>
                <c:pt idx="4">
                  <c:v>Trivandrum</c:v>
                </c:pt>
                <c:pt idx="5">
                  <c:v>Chennai</c:v>
                </c:pt>
                <c:pt idx="6">
                  <c:v>Jaipur</c:v>
                </c:pt>
                <c:pt idx="7">
                  <c:v>Bhopal</c:v>
                </c:pt>
                <c:pt idx="8">
                  <c:v>Kolkata</c:v>
                </c:pt>
              </c:strCache>
            </c:strRef>
          </c:cat>
          <c:val>
            <c:numRef>
              <c:f>PIVOT!$K$3:$K$12</c:f>
              <c:numCache>
                <c:formatCode>General</c:formatCode>
                <c:ptCount val="9"/>
                <c:pt idx="0">
                  <c:v>52</c:v>
                </c:pt>
                <c:pt idx="1">
                  <c:v>54</c:v>
                </c:pt>
                <c:pt idx="2">
                  <c:v>54</c:v>
                </c:pt>
                <c:pt idx="3">
                  <c:v>56</c:v>
                </c:pt>
                <c:pt idx="4">
                  <c:v>56</c:v>
                </c:pt>
                <c:pt idx="5">
                  <c:v>58</c:v>
                </c:pt>
                <c:pt idx="6">
                  <c:v>59</c:v>
                </c:pt>
                <c:pt idx="7">
                  <c:v>61</c:v>
                </c:pt>
                <c:pt idx="8">
                  <c:v>64</c:v>
                </c:pt>
              </c:numCache>
            </c:numRef>
          </c:val>
          <c:extLst>
            <c:ext xmlns:c16="http://schemas.microsoft.com/office/drawing/2014/chart" uri="{C3380CC4-5D6E-409C-BE32-E72D297353CC}">
              <c16:uniqueId val="{00000012-B60E-4A58-A185-4634CC65F711}"/>
            </c:ext>
          </c:extLst>
        </c:ser>
        <c:dLbls>
          <c:dLblPos val="outEnd"/>
          <c:showLegendKey val="0"/>
          <c:showVal val="1"/>
          <c:showCatName val="0"/>
          <c:showSerName val="0"/>
          <c:showPercent val="0"/>
          <c:showBubbleSize val="0"/>
        </c:dLbls>
        <c:gapWidth val="25"/>
        <c:axId val="193739392"/>
        <c:axId val="193754240"/>
      </c:barChart>
      <c:catAx>
        <c:axId val="193739392"/>
        <c:scaling>
          <c:orientation val="minMax"/>
        </c:scaling>
        <c:delete val="0"/>
        <c:axPos val="l"/>
        <c:numFmt formatCode="General" sourceLinked="0"/>
        <c:majorTickMark val="none"/>
        <c:minorTickMark val="none"/>
        <c:tickLblPos val="nextTo"/>
        <c:txPr>
          <a:bodyPr/>
          <a:lstStyle/>
          <a:p>
            <a:pPr>
              <a:defRPr sz="800"/>
            </a:pPr>
            <a:endParaRPr lang="en-US"/>
          </a:p>
        </c:txPr>
        <c:crossAx val="193754240"/>
        <c:crosses val="autoZero"/>
        <c:auto val="1"/>
        <c:lblAlgn val="ctr"/>
        <c:lblOffset val="100"/>
        <c:noMultiLvlLbl val="0"/>
      </c:catAx>
      <c:valAx>
        <c:axId val="193754240"/>
        <c:scaling>
          <c:orientation val="minMax"/>
        </c:scaling>
        <c:delete val="0"/>
        <c:axPos val="b"/>
        <c:numFmt formatCode="General" sourceLinked="1"/>
        <c:majorTickMark val="none"/>
        <c:minorTickMark val="none"/>
        <c:tickLblPos val="nextTo"/>
        <c:txPr>
          <a:bodyPr/>
          <a:lstStyle/>
          <a:p>
            <a:pPr>
              <a:defRPr sz="800"/>
            </a:pPr>
            <a:endParaRPr lang="en-US"/>
          </a:p>
        </c:txPr>
        <c:crossAx val="193739392"/>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[Safty_data_Injury_Plant(AutoRecovered).xlsx]PIVOT!PivotTable12</c:name>
    <c:fmtId val="2"/>
  </c:pivotSource>
  <c:chart>
    <c:title>
      <c:tx>
        <c:rich>
          <a:bodyPr/>
          <a:lstStyle/>
          <a:p>
            <a:pPr>
              <a:defRPr/>
            </a:pPr>
            <a:r>
              <a:rPr lang="en-US" sz="1100">
                <a:solidFill>
                  <a:srgbClr val="0070C0"/>
                </a:solidFill>
              </a:rPr>
              <a:t>4. INCIDENT COST BY PLANT</a:t>
            </a:r>
          </a:p>
        </c:rich>
      </c:tx>
      <c:layout>
        <c:manualLayout>
          <c:xMode val="edge"/>
          <c:yMode val="edge"/>
          <c:x val="3.6534621316665315E-2"/>
          <c:y val="1.3513806641938352E-3"/>
        </c:manualLayout>
      </c:layout>
      <c:overlay val="0"/>
    </c:title>
    <c:autoTitleDeleted val="0"/>
    <c:pivotFmts>
      <c:pivotFmt>
        <c:idx val="0"/>
        <c:spPr>
          <a:ln w="19050"/>
        </c:spPr>
        <c:marker>
          <c:symbol val="none"/>
        </c:marker>
        <c:dLbl>
          <c:idx val="0"/>
          <c:numFmt formatCode="[$₹-4009]\ #,##0.00" sourceLinked="0"/>
          <c:spPr/>
          <c:txPr>
            <a:bodyPr anchor="ctr" anchorCtr="1"/>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c:spPr>
      </c:pivotFmt>
      <c:pivotFmt>
        <c:idx val="2"/>
        <c:spPr>
          <a:solidFill>
            <a:srgbClr val="0070C0"/>
          </a:solidFill>
          <a:ln w="19050"/>
        </c:spPr>
      </c:pivotFmt>
      <c:pivotFmt>
        <c:idx val="3"/>
        <c:spPr>
          <a:solidFill>
            <a:srgbClr val="00B050"/>
          </a:solidFill>
          <a:ln w="19050"/>
        </c:spPr>
      </c:pivotFmt>
      <c:pivotFmt>
        <c:idx val="4"/>
        <c:spPr>
          <a:solidFill>
            <a:srgbClr val="FFC000"/>
          </a:solidFill>
          <a:ln w="19050"/>
        </c:spPr>
      </c:pivotFmt>
      <c:pivotFmt>
        <c:idx val="5"/>
        <c:spPr>
          <a:solidFill>
            <a:srgbClr val="7030A0"/>
          </a:solidFill>
          <a:ln w="19050"/>
        </c:spPr>
      </c:pivotFmt>
      <c:pivotFmt>
        <c:idx val="6"/>
        <c:spPr>
          <a:solidFill>
            <a:schemeClr val="accent5">
              <a:lumMod val="75000"/>
            </a:schemeClr>
          </a:solidFill>
          <a:ln w="19050"/>
        </c:spPr>
      </c:pivotFmt>
      <c:pivotFmt>
        <c:idx val="7"/>
        <c:spPr>
          <a:solidFill>
            <a:srgbClr val="00B0F0"/>
          </a:solidFill>
          <a:ln w="19050"/>
        </c:spPr>
      </c:pivotFmt>
      <c:pivotFmt>
        <c:idx val="8"/>
        <c:spPr>
          <a:solidFill>
            <a:schemeClr val="accent4">
              <a:lumMod val="60000"/>
              <a:lumOff val="40000"/>
            </a:schemeClr>
          </a:solidFill>
          <a:ln w="19050"/>
        </c:spPr>
      </c:pivotFmt>
      <c:pivotFmt>
        <c:idx val="9"/>
        <c:spPr>
          <a:solidFill>
            <a:schemeClr val="accent6">
              <a:lumMod val="20000"/>
              <a:lumOff val="80000"/>
            </a:schemeClr>
          </a:solidFill>
          <a:ln w="19050"/>
        </c:spPr>
      </c:pivotFmt>
      <c:pivotFmt>
        <c:idx val="10"/>
        <c:spPr>
          <a:ln w="19050"/>
        </c:spPr>
        <c:marker>
          <c:symbol val="none"/>
        </c:marker>
        <c:dLbl>
          <c:idx val="0"/>
          <c:numFmt formatCode="[$₹-4009]\ #,##0.00" sourceLinked="0"/>
          <c:spPr/>
          <c:txPr>
            <a:bodyPr anchor="ctr" anchorCtr="1"/>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w="19050"/>
        </c:spPr>
      </c:pivotFmt>
      <c:pivotFmt>
        <c:idx val="12"/>
        <c:spPr>
          <a:solidFill>
            <a:schemeClr val="accent4">
              <a:lumMod val="60000"/>
              <a:lumOff val="40000"/>
            </a:schemeClr>
          </a:solidFill>
          <a:ln w="19050"/>
        </c:spPr>
      </c:pivotFmt>
      <c:pivotFmt>
        <c:idx val="13"/>
        <c:spPr>
          <a:solidFill>
            <a:srgbClr val="00B0F0"/>
          </a:solidFill>
          <a:ln w="19050"/>
        </c:spPr>
      </c:pivotFmt>
      <c:pivotFmt>
        <c:idx val="14"/>
        <c:spPr>
          <a:solidFill>
            <a:schemeClr val="accent5">
              <a:lumMod val="75000"/>
            </a:schemeClr>
          </a:solidFill>
          <a:ln w="19050"/>
        </c:spPr>
      </c:pivotFmt>
      <c:pivotFmt>
        <c:idx val="15"/>
        <c:spPr>
          <a:solidFill>
            <a:srgbClr val="7030A0"/>
          </a:solidFill>
          <a:ln w="19050"/>
        </c:spPr>
      </c:pivotFmt>
      <c:pivotFmt>
        <c:idx val="16"/>
        <c:spPr>
          <a:solidFill>
            <a:srgbClr val="FFC000"/>
          </a:solidFill>
          <a:ln w="19050"/>
        </c:spPr>
      </c:pivotFmt>
      <c:pivotFmt>
        <c:idx val="17"/>
        <c:spPr>
          <a:solidFill>
            <a:srgbClr val="00B050"/>
          </a:solidFill>
          <a:ln w="19050"/>
        </c:spPr>
      </c:pivotFmt>
      <c:pivotFmt>
        <c:idx val="18"/>
        <c:spPr>
          <a:solidFill>
            <a:srgbClr val="0070C0"/>
          </a:solidFill>
          <a:ln w="19050"/>
        </c:spPr>
      </c:pivotFmt>
      <c:pivotFmt>
        <c:idx val="19"/>
        <c:spPr>
          <a:solidFill>
            <a:srgbClr val="FF0000"/>
          </a:solidFill>
          <a:ln w="19050"/>
        </c:spPr>
      </c:pivotFmt>
      <c:pivotFmt>
        <c:idx val="20"/>
        <c:spPr>
          <a:ln w="19050"/>
        </c:spPr>
        <c:marker>
          <c:symbol val="none"/>
        </c:marker>
        <c:dLbl>
          <c:idx val="0"/>
          <c:numFmt formatCode="[$₹-4009]\ #,##0.00" sourceLinked="0"/>
          <c:spPr/>
          <c:txPr>
            <a:bodyPr anchor="ctr" anchorCtr="1"/>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20000"/>
              <a:lumOff val="80000"/>
            </a:schemeClr>
          </a:solidFill>
          <a:ln w="19050"/>
        </c:spPr>
      </c:pivotFmt>
      <c:pivotFmt>
        <c:idx val="22"/>
        <c:spPr>
          <a:solidFill>
            <a:schemeClr val="accent4">
              <a:lumMod val="60000"/>
              <a:lumOff val="40000"/>
            </a:schemeClr>
          </a:solidFill>
          <a:ln w="19050"/>
        </c:spPr>
      </c:pivotFmt>
      <c:pivotFmt>
        <c:idx val="23"/>
        <c:spPr>
          <a:solidFill>
            <a:srgbClr val="00B0F0"/>
          </a:solidFill>
          <a:ln w="19050"/>
        </c:spPr>
      </c:pivotFmt>
      <c:pivotFmt>
        <c:idx val="24"/>
        <c:spPr>
          <a:solidFill>
            <a:schemeClr val="accent5">
              <a:lumMod val="75000"/>
            </a:schemeClr>
          </a:solidFill>
          <a:ln w="19050"/>
        </c:spPr>
      </c:pivotFmt>
      <c:pivotFmt>
        <c:idx val="25"/>
        <c:spPr>
          <a:solidFill>
            <a:srgbClr val="7030A0"/>
          </a:solidFill>
          <a:ln w="19050"/>
        </c:spPr>
      </c:pivotFmt>
      <c:pivotFmt>
        <c:idx val="26"/>
        <c:spPr>
          <a:solidFill>
            <a:srgbClr val="FFC000"/>
          </a:solidFill>
          <a:ln w="19050"/>
        </c:spPr>
      </c:pivotFmt>
      <c:pivotFmt>
        <c:idx val="27"/>
        <c:spPr>
          <a:solidFill>
            <a:srgbClr val="00B050"/>
          </a:solidFill>
          <a:ln w="19050"/>
        </c:spPr>
      </c:pivotFmt>
      <c:pivotFmt>
        <c:idx val="28"/>
        <c:spPr>
          <a:solidFill>
            <a:srgbClr val="0070C0"/>
          </a:solidFill>
          <a:ln w="19050"/>
        </c:spPr>
      </c:pivotFmt>
      <c:pivotFmt>
        <c:idx val="29"/>
        <c:spPr>
          <a:solidFill>
            <a:srgbClr val="FF0000"/>
          </a:solidFill>
          <a:ln w="19050"/>
        </c:spPr>
      </c:pivotFmt>
    </c:pivotFmts>
    <c:plotArea>
      <c:layout/>
      <c:barChart>
        <c:barDir val="bar"/>
        <c:grouping val="clustered"/>
        <c:varyColors val="0"/>
        <c:ser>
          <c:idx val="0"/>
          <c:order val="0"/>
          <c:tx>
            <c:strRef>
              <c:f>PIVOT!$K$18</c:f>
              <c:strCache>
                <c:ptCount val="1"/>
                <c:pt idx="0">
                  <c:v>Total</c:v>
                </c:pt>
              </c:strCache>
            </c:strRef>
          </c:tx>
          <c:spPr>
            <a:ln w="19050"/>
          </c:spPr>
          <c:invertIfNegative val="0"/>
          <c:dPt>
            <c:idx val="0"/>
            <c:invertIfNegative val="0"/>
            <c:bubble3D val="0"/>
            <c:spPr>
              <a:solidFill>
                <a:schemeClr val="accent6">
                  <a:lumMod val="20000"/>
                  <a:lumOff val="80000"/>
                </a:schemeClr>
              </a:solidFill>
              <a:ln w="19050"/>
            </c:spPr>
            <c:extLst>
              <c:ext xmlns:c16="http://schemas.microsoft.com/office/drawing/2014/chart" uri="{C3380CC4-5D6E-409C-BE32-E72D297353CC}">
                <c16:uniqueId val="{00000001-627F-4F19-918D-5E10A9E42FA2}"/>
              </c:ext>
            </c:extLst>
          </c:dPt>
          <c:dPt>
            <c:idx val="1"/>
            <c:invertIfNegative val="0"/>
            <c:bubble3D val="0"/>
            <c:spPr>
              <a:solidFill>
                <a:schemeClr val="accent4">
                  <a:lumMod val="60000"/>
                  <a:lumOff val="40000"/>
                </a:schemeClr>
              </a:solidFill>
              <a:ln w="19050"/>
            </c:spPr>
            <c:extLst>
              <c:ext xmlns:c16="http://schemas.microsoft.com/office/drawing/2014/chart" uri="{C3380CC4-5D6E-409C-BE32-E72D297353CC}">
                <c16:uniqueId val="{00000003-627F-4F19-918D-5E10A9E42FA2}"/>
              </c:ext>
            </c:extLst>
          </c:dPt>
          <c:dPt>
            <c:idx val="2"/>
            <c:invertIfNegative val="0"/>
            <c:bubble3D val="0"/>
            <c:spPr>
              <a:solidFill>
                <a:srgbClr val="00B0F0"/>
              </a:solidFill>
              <a:ln w="19050"/>
            </c:spPr>
            <c:extLst>
              <c:ext xmlns:c16="http://schemas.microsoft.com/office/drawing/2014/chart" uri="{C3380CC4-5D6E-409C-BE32-E72D297353CC}">
                <c16:uniqueId val="{00000005-627F-4F19-918D-5E10A9E42FA2}"/>
              </c:ext>
            </c:extLst>
          </c:dPt>
          <c:dPt>
            <c:idx val="3"/>
            <c:invertIfNegative val="0"/>
            <c:bubble3D val="0"/>
            <c:spPr>
              <a:solidFill>
                <a:schemeClr val="accent5">
                  <a:lumMod val="75000"/>
                </a:schemeClr>
              </a:solidFill>
              <a:ln w="19050"/>
            </c:spPr>
            <c:extLst>
              <c:ext xmlns:c16="http://schemas.microsoft.com/office/drawing/2014/chart" uri="{C3380CC4-5D6E-409C-BE32-E72D297353CC}">
                <c16:uniqueId val="{00000007-627F-4F19-918D-5E10A9E42FA2}"/>
              </c:ext>
            </c:extLst>
          </c:dPt>
          <c:dPt>
            <c:idx val="4"/>
            <c:invertIfNegative val="0"/>
            <c:bubble3D val="0"/>
            <c:spPr>
              <a:solidFill>
                <a:srgbClr val="7030A0"/>
              </a:solidFill>
              <a:ln w="19050"/>
            </c:spPr>
            <c:extLst>
              <c:ext xmlns:c16="http://schemas.microsoft.com/office/drawing/2014/chart" uri="{C3380CC4-5D6E-409C-BE32-E72D297353CC}">
                <c16:uniqueId val="{00000009-627F-4F19-918D-5E10A9E42FA2}"/>
              </c:ext>
            </c:extLst>
          </c:dPt>
          <c:dPt>
            <c:idx val="5"/>
            <c:invertIfNegative val="0"/>
            <c:bubble3D val="0"/>
            <c:spPr>
              <a:solidFill>
                <a:srgbClr val="FFC000"/>
              </a:solidFill>
              <a:ln w="19050"/>
            </c:spPr>
            <c:extLst>
              <c:ext xmlns:c16="http://schemas.microsoft.com/office/drawing/2014/chart" uri="{C3380CC4-5D6E-409C-BE32-E72D297353CC}">
                <c16:uniqueId val="{0000000B-627F-4F19-918D-5E10A9E42FA2}"/>
              </c:ext>
            </c:extLst>
          </c:dPt>
          <c:dPt>
            <c:idx val="6"/>
            <c:invertIfNegative val="0"/>
            <c:bubble3D val="0"/>
            <c:spPr>
              <a:solidFill>
                <a:srgbClr val="00B050"/>
              </a:solidFill>
              <a:ln w="19050"/>
            </c:spPr>
            <c:extLst>
              <c:ext xmlns:c16="http://schemas.microsoft.com/office/drawing/2014/chart" uri="{C3380CC4-5D6E-409C-BE32-E72D297353CC}">
                <c16:uniqueId val="{0000000D-627F-4F19-918D-5E10A9E42FA2}"/>
              </c:ext>
            </c:extLst>
          </c:dPt>
          <c:dPt>
            <c:idx val="7"/>
            <c:invertIfNegative val="0"/>
            <c:bubble3D val="0"/>
            <c:spPr>
              <a:solidFill>
                <a:srgbClr val="0070C0"/>
              </a:solidFill>
              <a:ln w="19050"/>
            </c:spPr>
            <c:extLst>
              <c:ext xmlns:c16="http://schemas.microsoft.com/office/drawing/2014/chart" uri="{C3380CC4-5D6E-409C-BE32-E72D297353CC}">
                <c16:uniqueId val="{0000000F-627F-4F19-918D-5E10A9E42FA2}"/>
              </c:ext>
            </c:extLst>
          </c:dPt>
          <c:dPt>
            <c:idx val="8"/>
            <c:invertIfNegative val="0"/>
            <c:bubble3D val="0"/>
            <c:spPr>
              <a:solidFill>
                <a:srgbClr val="FF0000"/>
              </a:solidFill>
              <a:ln w="19050"/>
            </c:spPr>
            <c:extLst>
              <c:ext xmlns:c16="http://schemas.microsoft.com/office/drawing/2014/chart" uri="{C3380CC4-5D6E-409C-BE32-E72D297353CC}">
                <c16:uniqueId val="{00000011-627F-4F19-918D-5E10A9E42FA2}"/>
              </c:ext>
            </c:extLst>
          </c:dPt>
          <c:dLbls>
            <c:numFmt formatCode="[$₹-4009]\ #,##0.00" sourceLinked="0"/>
            <c:spPr/>
            <c:txPr>
              <a:bodyPr anchor="ctr" anchorCtr="1"/>
              <a:lstStyle/>
              <a:p>
                <a:pPr>
                  <a:defRPr sz="7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PIVOT!$J$19:$J$28</c:f>
              <c:strCache>
                <c:ptCount val="9"/>
                <c:pt idx="0">
                  <c:v>Delhi</c:v>
                </c:pt>
                <c:pt idx="1">
                  <c:v>Trivandrum</c:v>
                </c:pt>
                <c:pt idx="2">
                  <c:v>Mumbai</c:v>
                </c:pt>
                <c:pt idx="3">
                  <c:v>Bangalore</c:v>
                </c:pt>
                <c:pt idx="4">
                  <c:v>Bhopal</c:v>
                </c:pt>
                <c:pt idx="5">
                  <c:v>Hyderabad</c:v>
                </c:pt>
                <c:pt idx="6">
                  <c:v>Kolkata</c:v>
                </c:pt>
                <c:pt idx="7">
                  <c:v>Chennai</c:v>
                </c:pt>
                <c:pt idx="8">
                  <c:v>Jaipur</c:v>
                </c:pt>
              </c:strCache>
            </c:strRef>
          </c:cat>
          <c:val>
            <c:numRef>
              <c:f>PIVOT!$K$19:$K$28</c:f>
              <c:numCache>
                <c:formatCode>General</c:formatCode>
                <c:ptCount val="9"/>
                <c:pt idx="0">
                  <c:v>64363</c:v>
                </c:pt>
                <c:pt idx="1">
                  <c:v>67615</c:v>
                </c:pt>
                <c:pt idx="2">
                  <c:v>70710</c:v>
                </c:pt>
                <c:pt idx="3">
                  <c:v>73965</c:v>
                </c:pt>
                <c:pt idx="4">
                  <c:v>80902</c:v>
                </c:pt>
                <c:pt idx="5">
                  <c:v>83352</c:v>
                </c:pt>
                <c:pt idx="6">
                  <c:v>86376</c:v>
                </c:pt>
                <c:pt idx="7">
                  <c:v>87548</c:v>
                </c:pt>
                <c:pt idx="8">
                  <c:v>102964</c:v>
                </c:pt>
              </c:numCache>
            </c:numRef>
          </c:val>
          <c:extLst>
            <c:ext xmlns:c16="http://schemas.microsoft.com/office/drawing/2014/chart" uri="{C3380CC4-5D6E-409C-BE32-E72D297353CC}">
              <c16:uniqueId val="{00000012-627F-4F19-918D-5E10A9E42FA2}"/>
            </c:ext>
          </c:extLst>
        </c:ser>
        <c:dLbls>
          <c:dLblPos val="outEnd"/>
          <c:showLegendKey val="0"/>
          <c:showVal val="1"/>
          <c:showCatName val="0"/>
          <c:showSerName val="0"/>
          <c:showPercent val="0"/>
          <c:showBubbleSize val="0"/>
        </c:dLbls>
        <c:gapWidth val="33"/>
        <c:axId val="193823872"/>
        <c:axId val="193830272"/>
      </c:barChart>
      <c:catAx>
        <c:axId val="193823872"/>
        <c:scaling>
          <c:orientation val="minMax"/>
        </c:scaling>
        <c:delete val="0"/>
        <c:axPos val="l"/>
        <c:numFmt formatCode="General" sourceLinked="0"/>
        <c:majorTickMark val="out"/>
        <c:minorTickMark val="none"/>
        <c:tickLblPos val="nextTo"/>
        <c:txPr>
          <a:bodyPr/>
          <a:lstStyle/>
          <a:p>
            <a:pPr>
              <a:defRPr sz="800"/>
            </a:pPr>
            <a:endParaRPr lang="en-US"/>
          </a:p>
        </c:txPr>
        <c:crossAx val="193830272"/>
        <c:crosses val="autoZero"/>
        <c:auto val="1"/>
        <c:lblAlgn val="ctr"/>
        <c:lblOffset val="100"/>
        <c:noMultiLvlLbl val="0"/>
      </c:catAx>
      <c:valAx>
        <c:axId val="193830272"/>
        <c:scaling>
          <c:orientation val="minMax"/>
        </c:scaling>
        <c:delete val="0"/>
        <c:axPos val="b"/>
        <c:numFmt formatCode="General" sourceLinked="1"/>
        <c:majorTickMark val="out"/>
        <c:minorTickMark val="none"/>
        <c:tickLblPos val="nextTo"/>
        <c:txPr>
          <a:bodyPr/>
          <a:lstStyle/>
          <a:p>
            <a:pPr>
              <a:defRPr sz="800"/>
            </a:pPr>
            <a:endParaRPr lang="en-US"/>
          </a:p>
        </c:txPr>
        <c:crossAx val="193823872"/>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[Safty_data_Injury_Plant(AutoRecovered).xlsx]PIVOT!PivotTable13</c:name>
    <c:fmtId val="2"/>
  </c:pivotSource>
  <c:chart>
    <c:title>
      <c:tx>
        <c:rich>
          <a:bodyPr/>
          <a:lstStyle/>
          <a:p>
            <a:pPr>
              <a:defRPr/>
            </a:pPr>
            <a:r>
              <a:rPr lang="en-US" sz="1200">
                <a:solidFill>
                  <a:srgbClr val="0070C0"/>
                </a:solidFill>
              </a:rPr>
              <a:t>5. INCIDENT BY</a:t>
            </a:r>
            <a:r>
              <a:rPr lang="en-US" sz="1200" baseline="0">
                <a:solidFill>
                  <a:srgbClr val="0070C0"/>
                </a:solidFill>
              </a:rPr>
              <a:t> DEPARTMENT</a:t>
            </a:r>
            <a:endParaRPr lang="en-US" sz="1200">
              <a:solidFill>
                <a:srgbClr val="0070C0"/>
              </a:solidFill>
            </a:endParaRPr>
          </a:p>
        </c:rich>
      </c:tx>
      <c:layout>
        <c:manualLayout>
          <c:xMode val="edge"/>
          <c:yMode val="edge"/>
          <c:x val="4.0665379567938621E-2"/>
          <c:y val="2.1753857178630908E-3"/>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PIVOT!$T$2</c:f>
              <c:strCache>
                <c:ptCount val="1"/>
                <c:pt idx="0">
                  <c:v>Total</c:v>
                </c:pt>
              </c:strCache>
            </c:strRef>
          </c:tx>
          <c:spPr>
            <a:solidFill>
              <a:srgbClr val="0070C0"/>
            </a:solidFill>
          </c:spPr>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PIVOT!$S$3:$S$12</c:f>
              <c:strCache>
                <c:ptCount val="9"/>
                <c:pt idx="0">
                  <c:v>Shipping</c:v>
                </c:pt>
                <c:pt idx="1">
                  <c:v>Administration</c:v>
                </c:pt>
                <c:pt idx="2">
                  <c:v>Maintenance</c:v>
                </c:pt>
                <c:pt idx="3">
                  <c:v>Painting</c:v>
                </c:pt>
                <c:pt idx="4">
                  <c:v>Security</c:v>
                </c:pt>
                <c:pt idx="5">
                  <c:v>Finishing</c:v>
                </c:pt>
                <c:pt idx="6">
                  <c:v>Melting</c:v>
                </c:pt>
                <c:pt idx="7">
                  <c:v>Fabrication</c:v>
                </c:pt>
                <c:pt idx="8">
                  <c:v>Purchasing</c:v>
                </c:pt>
              </c:strCache>
            </c:strRef>
          </c:cat>
          <c:val>
            <c:numRef>
              <c:f>PIVOT!$T$3:$T$12</c:f>
              <c:numCache>
                <c:formatCode>General</c:formatCode>
                <c:ptCount val="9"/>
                <c:pt idx="0">
                  <c:v>68</c:v>
                </c:pt>
                <c:pt idx="1">
                  <c:v>63</c:v>
                </c:pt>
                <c:pt idx="2">
                  <c:v>62</c:v>
                </c:pt>
                <c:pt idx="3">
                  <c:v>60</c:v>
                </c:pt>
                <c:pt idx="4">
                  <c:v>57</c:v>
                </c:pt>
                <c:pt idx="5">
                  <c:v>56</c:v>
                </c:pt>
                <c:pt idx="6">
                  <c:v>55</c:v>
                </c:pt>
                <c:pt idx="7">
                  <c:v>50</c:v>
                </c:pt>
                <c:pt idx="8">
                  <c:v>43</c:v>
                </c:pt>
              </c:numCache>
            </c:numRef>
          </c:val>
          <c:extLst>
            <c:ext xmlns:c16="http://schemas.microsoft.com/office/drawing/2014/chart" uri="{C3380CC4-5D6E-409C-BE32-E72D297353CC}">
              <c16:uniqueId val="{00000000-5C36-45D9-9B30-7C01B183244A}"/>
            </c:ext>
          </c:extLst>
        </c:ser>
        <c:dLbls>
          <c:dLblPos val="outEnd"/>
          <c:showLegendKey val="0"/>
          <c:showVal val="1"/>
          <c:showCatName val="0"/>
          <c:showSerName val="0"/>
          <c:showPercent val="0"/>
          <c:showBubbleSize val="0"/>
        </c:dLbls>
        <c:gapWidth val="75"/>
        <c:overlap val="40"/>
        <c:axId val="194588672"/>
        <c:axId val="194591360"/>
      </c:barChart>
      <c:catAx>
        <c:axId val="194588672"/>
        <c:scaling>
          <c:orientation val="minMax"/>
        </c:scaling>
        <c:delete val="0"/>
        <c:axPos val="b"/>
        <c:numFmt formatCode="General" sourceLinked="0"/>
        <c:majorTickMark val="none"/>
        <c:minorTickMark val="none"/>
        <c:tickLblPos val="nextTo"/>
        <c:txPr>
          <a:bodyPr/>
          <a:lstStyle/>
          <a:p>
            <a:pPr>
              <a:defRPr sz="800" b="1"/>
            </a:pPr>
            <a:endParaRPr lang="en-US"/>
          </a:p>
        </c:txPr>
        <c:crossAx val="194591360"/>
        <c:crosses val="autoZero"/>
        <c:auto val="1"/>
        <c:lblAlgn val="ctr"/>
        <c:lblOffset val="100"/>
        <c:noMultiLvlLbl val="0"/>
      </c:catAx>
      <c:valAx>
        <c:axId val="194591360"/>
        <c:scaling>
          <c:orientation val="minMax"/>
        </c:scaling>
        <c:delete val="1"/>
        <c:axPos val="l"/>
        <c:numFmt formatCode="General" sourceLinked="1"/>
        <c:majorTickMark val="none"/>
        <c:minorTickMark val="none"/>
        <c:tickLblPos val="nextTo"/>
        <c:crossAx val="194588672"/>
        <c:crosses val="autoZero"/>
        <c:crossBetween val="between"/>
      </c:valAx>
    </c:plotArea>
    <c:plotVisOnly val="1"/>
    <c:dispBlanksAs val="gap"/>
    <c:showDLblsOverMax val="0"/>
  </c:chart>
  <c:spPr>
    <a:ln w="9525">
      <a:solidFill>
        <a:sysClr val="windowText" lastClr="000000">
          <a:alpha val="20000"/>
        </a:sys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[Safty_data_Injury_Plant(AutoRecovered).xlsx]PIVOT!PivotTable14</c:name>
    <c:fmtId val="2"/>
  </c:pivotSource>
  <c:chart>
    <c:title>
      <c:tx>
        <c:rich>
          <a:bodyPr/>
          <a:lstStyle/>
          <a:p>
            <a:pPr>
              <a:defRPr/>
            </a:pPr>
            <a:r>
              <a:rPr lang="en-US" sz="1100">
                <a:solidFill>
                  <a:srgbClr val="7030A0"/>
                </a:solidFill>
              </a:rPr>
              <a:t>6. INCIDENT TYPE DISTRIBUTION</a:t>
            </a:r>
          </a:p>
        </c:rich>
      </c:tx>
      <c:layout>
        <c:manualLayout>
          <c:xMode val="edge"/>
          <c:yMode val="edge"/>
          <c:x val="2.584745762711866E-2"/>
          <c:y val="1.1109222857934127E-2"/>
        </c:manualLayout>
      </c:layout>
      <c:overlay val="0"/>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numFmt formatCode="0.00%" sourceLinked="0"/>
          <c:spPr>
            <a:noFill/>
          </c:spPr>
          <c:txPr>
            <a:bodyPr/>
            <a:lstStyle/>
            <a:p>
              <a:pPr>
                <a:defRPr sz="800" b="1">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ln w="12700"/>
          <a:effectLst>
            <a:outerShdw blurRad="76200" dir="13500000" sy="23000" kx="1200000" algn="br" rotWithShape="0">
              <a:prstClr val="black">
                <a:alpha val="20000"/>
              </a:prstClr>
            </a:outerShdw>
            <a:softEdge rad="0"/>
          </a:effectLst>
          <a:scene3d>
            <a:camera prst="orthographicFront"/>
            <a:lightRig rig="threePt" dir="t"/>
          </a:scene3d>
          <a:sp3d>
            <a:bevelT w="0"/>
          </a:sp3d>
        </c:spPr>
        <c:marker>
          <c:symbol val="none"/>
        </c:marker>
        <c:dLbl>
          <c:idx val="0"/>
          <c:numFmt formatCode="0.00%" sourceLinked="0"/>
          <c:spPr>
            <a:noFill/>
          </c:spPr>
          <c:txPr>
            <a:bodyPr rot="-1320000" vert="horz" anchor="ctr" anchorCtr="1"/>
            <a:lstStyle/>
            <a:p>
              <a:pPr>
                <a:defRPr sz="600" b="1">
                  <a:solidFill>
                    <a:sysClr val="windowText" lastClr="000000"/>
                  </a:solidFill>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solidFill>
            <a:srgbClr val="0070C0"/>
          </a:solidFill>
          <a:ln w="12700"/>
          <a:effectLst>
            <a:outerShdw blurRad="76200" dir="13500000" sy="23000" kx="1200000" algn="br" rotWithShape="0">
              <a:prstClr val="black">
                <a:alpha val="20000"/>
              </a:prstClr>
            </a:outerShdw>
            <a:softEdge rad="0"/>
          </a:effectLst>
          <a:scene3d>
            <a:camera prst="orthographicFront"/>
            <a:lightRig rig="threePt" dir="t"/>
          </a:scene3d>
          <a:sp3d>
            <a:bevelT w="0"/>
          </a:sp3d>
        </c:spPr>
      </c:pivotFmt>
    </c:pivotFmts>
    <c:plotArea>
      <c:layout/>
      <c:doughnutChart>
        <c:varyColors val="1"/>
        <c:ser>
          <c:idx val="0"/>
          <c:order val="0"/>
          <c:tx>
            <c:strRef>
              <c:f>PIVOT!$T$19</c:f>
              <c:strCache>
                <c:ptCount val="1"/>
                <c:pt idx="0">
                  <c:v>Total</c:v>
                </c:pt>
              </c:strCache>
            </c:strRef>
          </c:tx>
          <c:spPr>
            <a:ln w="12700"/>
            <a:effectLst>
              <a:outerShdw blurRad="76200" dir="13500000" sy="23000" kx="1200000" algn="br" rotWithShape="0">
                <a:prstClr val="black">
                  <a:alpha val="20000"/>
                </a:prstClr>
              </a:outerShdw>
              <a:softEdge rad="0"/>
            </a:effectLst>
            <a:scene3d>
              <a:camera prst="orthographicFront"/>
              <a:lightRig rig="threePt" dir="t"/>
            </a:scene3d>
            <a:sp3d>
              <a:bevelT w="0"/>
            </a:sp3d>
          </c:spPr>
          <c:dPt>
            <c:idx val="0"/>
            <c:bubble3D val="0"/>
            <c:spPr>
              <a:solidFill>
                <a:srgbClr val="0070C0"/>
              </a:solidFill>
              <a:ln w="12700"/>
              <a:effectLst>
                <a:outerShdw blurRad="76200" dir="13500000" sy="23000" kx="1200000" algn="br" rotWithShape="0">
                  <a:prstClr val="black">
                    <a:alpha val="20000"/>
                  </a:prstClr>
                </a:outerShdw>
                <a:softEdge rad="0"/>
              </a:effectLst>
              <a:scene3d>
                <a:camera prst="orthographicFront"/>
                <a:lightRig rig="threePt" dir="t"/>
              </a:scene3d>
              <a:sp3d>
                <a:bevelT w="0"/>
              </a:sp3d>
            </c:spPr>
            <c:extLst>
              <c:ext xmlns:c16="http://schemas.microsoft.com/office/drawing/2014/chart" uri="{C3380CC4-5D6E-409C-BE32-E72D297353CC}">
                <c16:uniqueId val="{00000001-BE38-413B-9D29-D0CD1980D06F}"/>
              </c:ext>
            </c:extLst>
          </c:dPt>
          <c:dLbls>
            <c:numFmt formatCode="0.00%" sourceLinked="0"/>
            <c:spPr>
              <a:noFill/>
            </c:spPr>
            <c:txPr>
              <a:bodyPr rot="-1320000" vert="horz" anchor="ctr" anchorCtr="1"/>
              <a:lstStyle/>
              <a:p>
                <a:pPr>
                  <a:defRPr sz="600" b="1">
                    <a:solidFill>
                      <a:sysClr val="windowText" lastClr="000000"/>
                    </a:solidFill>
                  </a:defRPr>
                </a:pPr>
                <a:endParaRPr lang="en-US"/>
              </a:p>
            </c:txPr>
            <c:showLegendKey val="0"/>
            <c:showVal val="0"/>
            <c:showCatName val="0"/>
            <c:showSerName val="0"/>
            <c:showPercent val="1"/>
            <c:showBubbleSize val="0"/>
            <c:separator>, </c:separator>
            <c:showLeaderLines val="1"/>
            <c:extLst>
              <c:ext xmlns:c15="http://schemas.microsoft.com/office/drawing/2012/chart" uri="{CE6537A1-D6FC-4f65-9D91-7224C49458BB}"/>
            </c:extLst>
          </c:dLbls>
          <c:cat>
            <c:strRef>
              <c:f>PIVOT!$S$20:$S$29</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PIVOT!$T$20:$T$29</c:f>
              <c:numCache>
                <c:formatCode>0.00%</c:formatCode>
                <c:ptCount val="9"/>
                <c:pt idx="0">
                  <c:v>0.12645914396887159</c:v>
                </c:pt>
                <c:pt idx="1">
                  <c:v>9.1439688715953302E-2</c:v>
                </c:pt>
                <c:pt idx="2">
                  <c:v>0.11284046692607004</c:v>
                </c:pt>
                <c:pt idx="3">
                  <c:v>0.10700389105058365</c:v>
                </c:pt>
                <c:pt idx="4">
                  <c:v>0.122568093385214</c:v>
                </c:pt>
                <c:pt idx="5">
                  <c:v>0.10700389105058365</c:v>
                </c:pt>
                <c:pt idx="6">
                  <c:v>0.11478599221789883</c:v>
                </c:pt>
                <c:pt idx="7">
                  <c:v>0.12062256809338522</c:v>
                </c:pt>
                <c:pt idx="8">
                  <c:v>9.727626459143969E-2</c:v>
                </c:pt>
              </c:numCache>
            </c:numRef>
          </c:val>
          <c:extLst>
            <c:ext xmlns:c16="http://schemas.microsoft.com/office/drawing/2014/chart" uri="{C3380CC4-5D6E-409C-BE32-E72D297353CC}">
              <c16:uniqueId val="{00000002-BE38-413B-9D29-D0CD1980D06F}"/>
            </c:ext>
          </c:extLst>
        </c:ser>
        <c:dLbls>
          <c:showLegendKey val="0"/>
          <c:showVal val="0"/>
          <c:showCatName val="0"/>
          <c:showSerName val="0"/>
          <c:showPercent val="1"/>
          <c:showBubbleSize val="0"/>
          <c:showLeaderLines val="1"/>
        </c:dLbls>
        <c:firstSliceAng val="0"/>
        <c:holeSize val="47"/>
      </c:doughnutChart>
    </c:plotArea>
    <c:legend>
      <c:legendPos val="r"/>
      <c:layout>
        <c:manualLayout>
          <c:xMode val="edge"/>
          <c:yMode val="edge"/>
          <c:x val="0.76919969543678823"/>
          <c:y val="3.9655359950426669E-2"/>
          <c:w val="0.20188566389998977"/>
          <c:h val="0.9306654712816439"/>
        </c:manualLayout>
      </c:layout>
      <c:overlay val="0"/>
      <c:txPr>
        <a:bodyPr/>
        <a:lstStyle/>
        <a:p>
          <a:pPr>
            <a:defRPr sz="600"/>
          </a:pPr>
          <a:endParaRPr lang="en-US"/>
        </a:p>
      </c:txPr>
    </c:legend>
    <c:plotVisOnly val="1"/>
    <c:dispBlanksAs val="gap"/>
    <c:showDLblsOverMax val="0"/>
  </c:chart>
  <c:spPr>
    <a:ln>
      <a:solidFill>
        <a:sysClr val="windowText" lastClr="000000">
          <a:alpha val="20000"/>
        </a:sys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[Safty_data_Injury_Plant(AutoRecovered).xlsx]PIVOT!PivotTable15</c:name>
    <c:fmtId val="2"/>
  </c:pivotSource>
  <c:chart>
    <c:title>
      <c:tx>
        <c:rich>
          <a:bodyPr/>
          <a:lstStyle/>
          <a:p>
            <a:pPr>
              <a:defRPr/>
            </a:pPr>
            <a:r>
              <a:rPr lang="en-US" sz="1100">
                <a:solidFill>
                  <a:srgbClr val="0070C0"/>
                </a:solidFill>
              </a:rPr>
              <a:t>7. SHIFT- WISE INCIDENT</a:t>
            </a:r>
          </a:p>
        </c:rich>
      </c:tx>
      <c:layout>
        <c:manualLayout>
          <c:xMode val="edge"/>
          <c:yMode val="edge"/>
          <c:x val="3.2620574356018305E-2"/>
          <c:y val="0"/>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c:spPr>
      </c:pivotFmt>
      <c:pivotFmt>
        <c:idx val="2"/>
        <c:spPr>
          <a:solidFill>
            <a:srgbClr val="0070C0"/>
          </a:solidFill>
          <a:ln>
            <a:solidFill>
              <a:srgbClr val="0070C0"/>
            </a:solidFill>
          </a:ln>
        </c:spPr>
      </c:pivotFmt>
      <c:pivotFmt>
        <c:idx val="3"/>
        <c:spPr>
          <a:solidFill>
            <a:schemeClr val="accent5">
              <a:lumMod val="60000"/>
              <a:lumOff val="40000"/>
            </a:schemeClr>
          </a:solidFill>
          <a:ln>
            <a:solidFill>
              <a:schemeClr val="accent5">
                <a:lumMod val="60000"/>
                <a:lumOff val="40000"/>
              </a:schemeClr>
            </a:solidFill>
          </a:ln>
        </c:spPr>
      </c:pivotFmt>
      <c:pivotFmt>
        <c:idx val="4"/>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solidFill>
              <a:srgbClr val="0070C0"/>
            </a:solidFill>
          </a:ln>
        </c:spPr>
      </c:pivotFmt>
      <c:pivotFmt>
        <c:idx val="6"/>
        <c:spPr>
          <a:solidFill>
            <a:schemeClr val="accent5">
              <a:lumMod val="60000"/>
              <a:lumOff val="40000"/>
            </a:schemeClr>
          </a:solidFill>
          <a:ln>
            <a:solidFill>
              <a:schemeClr val="accent5">
                <a:lumMod val="60000"/>
                <a:lumOff val="40000"/>
              </a:schemeClr>
            </a:solidFill>
          </a:ln>
        </c:spPr>
      </c:pivotFmt>
      <c:pivotFmt>
        <c:idx val="7"/>
        <c:spPr>
          <a:solidFill>
            <a:srgbClr val="00B050"/>
          </a:solidFill>
          <a:ln>
            <a:solidFill>
              <a:srgbClr val="00B050"/>
            </a:solidFill>
          </a:ln>
        </c:spPr>
      </c:pivotFmt>
      <c:pivotFmt>
        <c:idx val="8"/>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solidFill>
              <a:srgbClr val="0070C0"/>
            </a:solidFill>
          </a:ln>
        </c:spPr>
      </c:pivotFmt>
      <c:pivotFmt>
        <c:idx val="10"/>
        <c:spPr>
          <a:solidFill>
            <a:schemeClr val="accent5">
              <a:lumMod val="75000"/>
            </a:schemeClr>
          </a:solidFill>
          <a:ln>
            <a:solidFill>
              <a:schemeClr val="accent5">
                <a:lumMod val="60000"/>
                <a:lumOff val="40000"/>
              </a:schemeClr>
            </a:solidFill>
          </a:ln>
        </c:spPr>
      </c:pivotFmt>
      <c:pivotFmt>
        <c:idx val="11"/>
        <c:spPr>
          <a:solidFill>
            <a:srgbClr val="00B050"/>
          </a:solidFill>
          <a:ln>
            <a:solidFill>
              <a:srgbClr val="00B050"/>
            </a:solidFill>
          </a:ln>
        </c:spPr>
      </c:pivotFmt>
    </c:pivotFmts>
    <c:plotArea>
      <c:layout/>
      <c:barChart>
        <c:barDir val="col"/>
        <c:grouping val="clustered"/>
        <c:varyColors val="0"/>
        <c:ser>
          <c:idx val="0"/>
          <c:order val="0"/>
          <c:tx>
            <c:strRef>
              <c:f>PIVOT!$AC$2</c:f>
              <c:strCache>
                <c:ptCount val="1"/>
                <c:pt idx="0">
                  <c:v>Total</c:v>
                </c:pt>
              </c:strCache>
            </c:strRef>
          </c:tx>
          <c:invertIfNegative val="0"/>
          <c:dPt>
            <c:idx val="0"/>
            <c:invertIfNegative val="0"/>
            <c:bubble3D val="0"/>
            <c:spPr>
              <a:solidFill>
                <a:srgbClr val="0070C0"/>
              </a:solidFill>
              <a:ln>
                <a:solidFill>
                  <a:srgbClr val="0070C0"/>
                </a:solidFill>
              </a:ln>
            </c:spPr>
            <c:extLst>
              <c:ext xmlns:c16="http://schemas.microsoft.com/office/drawing/2014/chart" uri="{C3380CC4-5D6E-409C-BE32-E72D297353CC}">
                <c16:uniqueId val="{00000001-A527-4715-9A9A-565EE3031A51}"/>
              </c:ext>
            </c:extLst>
          </c:dPt>
          <c:dPt>
            <c:idx val="1"/>
            <c:invertIfNegative val="0"/>
            <c:bubble3D val="0"/>
            <c:spPr>
              <a:solidFill>
                <a:schemeClr val="accent5">
                  <a:lumMod val="75000"/>
                </a:schemeClr>
              </a:solidFill>
              <a:ln>
                <a:solidFill>
                  <a:schemeClr val="accent5">
                    <a:lumMod val="60000"/>
                    <a:lumOff val="40000"/>
                  </a:schemeClr>
                </a:solidFill>
              </a:ln>
            </c:spPr>
            <c:extLst>
              <c:ext xmlns:c16="http://schemas.microsoft.com/office/drawing/2014/chart" uri="{C3380CC4-5D6E-409C-BE32-E72D297353CC}">
                <c16:uniqueId val="{00000003-A527-4715-9A9A-565EE3031A51}"/>
              </c:ext>
            </c:extLst>
          </c:dPt>
          <c:dPt>
            <c:idx val="2"/>
            <c:invertIfNegative val="0"/>
            <c:bubble3D val="0"/>
            <c:spPr>
              <a:solidFill>
                <a:srgbClr val="00B050"/>
              </a:solidFill>
              <a:ln>
                <a:solidFill>
                  <a:srgbClr val="00B050"/>
                </a:solidFill>
              </a:ln>
            </c:spPr>
            <c:extLst>
              <c:ext xmlns:c16="http://schemas.microsoft.com/office/drawing/2014/chart" uri="{C3380CC4-5D6E-409C-BE32-E72D297353CC}">
                <c16:uniqueId val="{00000005-A527-4715-9A9A-565EE3031A51}"/>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PIVOT!$AB$3:$AB$6</c:f>
              <c:strCache>
                <c:ptCount val="3"/>
                <c:pt idx="0">
                  <c:v>Day</c:v>
                </c:pt>
                <c:pt idx="1">
                  <c:v>Night</c:v>
                </c:pt>
                <c:pt idx="2">
                  <c:v>Afternoon</c:v>
                </c:pt>
              </c:strCache>
            </c:strRef>
          </c:cat>
          <c:val>
            <c:numRef>
              <c:f>PIVOT!$AC$3:$AC$6</c:f>
              <c:numCache>
                <c:formatCode>General</c:formatCode>
                <c:ptCount val="3"/>
                <c:pt idx="0">
                  <c:v>178</c:v>
                </c:pt>
                <c:pt idx="1">
                  <c:v>176</c:v>
                </c:pt>
                <c:pt idx="2">
                  <c:v>160</c:v>
                </c:pt>
              </c:numCache>
            </c:numRef>
          </c:val>
          <c:extLst>
            <c:ext xmlns:c16="http://schemas.microsoft.com/office/drawing/2014/chart" uri="{C3380CC4-5D6E-409C-BE32-E72D297353CC}">
              <c16:uniqueId val="{00000006-A527-4715-9A9A-565EE3031A51}"/>
            </c:ext>
          </c:extLst>
        </c:ser>
        <c:dLbls>
          <c:dLblPos val="outEnd"/>
          <c:showLegendKey val="0"/>
          <c:showVal val="1"/>
          <c:showCatName val="0"/>
          <c:showSerName val="0"/>
          <c:showPercent val="0"/>
          <c:showBubbleSize val="0"/>
        </c:dLbls>
        <c:gapWidth val="150"/>
        <c:axId val="194690048"/>
        <c:axId val="194694144"/>
      </c:barChart>
      <c:catAx>
        <c:axId val="194690048"/>
        <c:scaling>
          <c:orientation val="minMax"/>
        </c:scaling>
        <c:delete val="0"/>
        <c:axPos val="b"/>
        <c:numFmt formatCode="[$₹-4009]\ #,##0.00" sourceLinked="0"/>
        <c:majorTickMark val="none"/>
        <c:minorTickMark val="none"/>
        <c:tickLblPos val="nextTo"/>
        <c:txPr>
          <a:bodyPr/>
          <a:lstStyle/>
          <a:p>
            <a:pPr>
              <a:defRPr sz="800"/>
            </a:pPr>
            <a:endParaRPr lang="en-US"/>
          </a:p>
        </c:txPr>
        <c:crossAx val="194694144"/>
        <c:crosses val="autoZero"/>
        <c:auto val="1"/>
        <c:lblAlgn val="ctr"/>
        <c:lblOffset val="100"/>
        <c:noMultiLvlLbl val="0"/>
      </c:catAx>
      <c:valAx>
        <c:axId val="194694144"/>
        <c:scaling>
          <c:orientation val="minMax"/>
        </c:scaling>
        <c:delete val="0"/>
        <c:axPos val="l"/>
        <c:numFmt formatCode="General" sourceLinked="1"/>
        <c:majorTickMark val="none"/>
        <c:minorTickMark val="none"/>
        <c:tickLblPos val="none"/>
        <c:txPr>
          <a:bodyPr/>
          <a:lstStyle/>
          <a:p>
            <a:pPr>
              <a:defRPr sz="800"/>
            </a:pPr>
            <a:endParaRPr lang="en-US"/>
          </a:p>
        </c:txPr>
        <c:crossAx val="194690048"/>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[Safty_data_Injury_Plant(AutoRecovered).xlsx]PIVOT!PivotTable16</c:name>
    <c:fmtId val="3"/>
  </c:pivotSource>
  <c:chart>
    <c:title>
      <c:tx>
        <c:rich>
          <a:bodyPr/>
          <a:lstStyle/>
          <a:p>
            <a:pPr>
              <a:defRPr/>
            </a:pPr>
            <a:r>
              <a:rPr lang="en-US" sz="1100" b="1">
                <a:solidFill>
                  <a:srgbClr val="0070C0"/>
                </a:solidFill>
              </a:rPr>
              <a:t>8. AGE GROUP vs INCIDENT</a:t>
            </a:r>
          </a:p>
        </c:rich>
      </c:tx>
      <c:layout>
        <c:manualLayout>
          <c:xMode val="edge"/>
          <c:yMode val="edge"/>
          <c:x val="3.6283700668579048E-2"/>
          <c:y val="4.6237345331833525E-3"/>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c:spPr>
      </c:pivotFmt>
      <c:pivotFmt>
        <c:idx val="2"/>
        <c:spPr>
          <a:solidFill>
            <a:srgbClr val="FFC000"/>
          </a:solidFill>
        </c:spPr>
      </c:pivotFmt>
      <c:pivotFmt>
        <c:idx val="3"/>
        <c:spPr>
          <a:solidFill>
            <a:schemeClr val="accent5">
              <a:lumMod val="75000"/>
            </a:schemeClr>
          </a:solidFill>
        </c:spPr>
      </c:pivotFmt>
      <c:pivotFmt>
        <c:idx val="4"/>
        <c:spPr>
          <a:solidFill>
            <a:srgbClr val="0070C0"/>
          </a:solidFill>
        </c:spPr>
      </c:pivotFmt>
      <c:pivotFmt>
        <c:idx val="5"/>
        <c:spPr>
          <a:solidFill>
            <a:srgbClr val="00B050"/>
          </a:solidFill>
        </c:spPr>
      </c:pivotFmt>
      <c:pivotFmt>
        <c:idx val="6"/>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c:spPr>
      </c:pivotFmt>
      <c:pivotFmt>
        <c:idx val="8"/>
        <c:spPr>
          <a:solidFill>
            <a:schemeClr val="accent5">
              <a:lumMod val="75000"/>
            </a:schemeClr>
          </a:solidFill>
        </c:spPr>
      </c:pivotFmt>
      <c:pivotFmt>
        <c:idx val="9"/>
        <c:spPr>
          <a:solidFill>
            <a:srgbClr val="FF0000"/>
          </a:solidFill>
        </c:spPr>
      </c:pivotFmt>
      <c:pivotFmt>
        <c:idx val="10"/>
        <c:spPr>
          <a:solidFill>
            <a:srgbClr val="FFC000"/>
          </a:solidFill>
        </c:spPr>
      </c:pivotFmt>
      <c:pivotFmt>
        <c:idx val="11"/>
        <c:spPr>
          <a:solidFill>
            <a:srgbClr val="00B050"/>
          </a:solidFill>
        </c:spPr>
      </c:pivotFmt>
      <c:pivotFmt>
        <c:idx val="12"/>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c:spPr>
      </c:pivotFmt>
      <c:pivotFmt>
        <c:idx val="14"/>
        <c:spPr>
          <a:solidFill>
            <a:schemeClr val="accent5">
              <a:lumMod val="75000"/>
            </a:schemeClr>
          </a:solidFill>
        </c:spPr>
      </c:pivotFmt>
      <c:pivotFmt>
        <c:idx val="15"/>
        <c:spPr>
          <a:solidFill>
            <a:srgbClr val="FF0000"/>
          </a:solidFill>
        </c:spPr>
      </c:pivotFmt>
      <c:pivotFmt>
        <c:idx val="16"/>
        <c:spPr>
          <a:solidFill>
            <a:srgbClr val="FFC000"/>
          </a:solidFill>
        </c:spPr>
      </c:pivotFmt>
      <c:pivotFmt>
        <c:idx val="17"/>
        <c:spPr>
          <a:solidFill>
            <a:srgbClr val="00B050"/>
          </a:solidFill>
        </c:spPr>
      </c:pivotFmt>
    </c:pivotFmts>
    <c:plotArea>
      <c:layout/>
      <c:barChart>
        <c:barDir val="col"/>
        <c:grouping val="clustered"/>
        <c:varyColors val="0"/>
        <c:ser>
          <c:idx val="0"/>
          <c:order val="0"/>
          <c:tx>
            <c:strRef>
              <c:f>PIVOT!$AC$12</c:f>
              <c:strCache>
                <c:ptCount val="1"/>
                <c:pt idx="0">
                  <c:v>Total</c:v>
                </c:pt>
              </c:strCache>
            </c:strRef>
          </c:tx>
          <c:invertIfNegative val="0"/>
          <c:dPt>
            <c:idx val="0"/>
            <c:invertIfNegative val="0"/>
            <c:bubble3D val="0"/>
            <c:spPr>
              <a:solidFill>
                <a:srgbClr val="0070C0"/>
              </a:solidFill>
            </c:spPr>
            <c:extLst>
              <c:ext xmlns:c16="http://schemas.microsoft.com/office/drawing/2014/chart" uri="{C3380CC4-5D6E-409C-BE32-E72D297353CC}">
                <c16:uniqueId val="{00000001-5DA8-4FBA-850A-71FC807CC073}"/>
              </c:ext>
            </c:extLst>
          </c:dPt>
          <c:dPt>
            <c:idx val="1"/>
            <c:invertIfNegative val="0"/>
            <c:bubble3D val="0"/>
            <c:spPr>
              <a:solidFill>
                <a:schemeClr val="accent5">
                  <a:lumMod val="75000"/>
                </a:schemeClr>
              </a:solidFill>
            </c:spPr>
            <c:extLst>
              <c:ext xmlns:c16="http://schemas.microsoft.com/office/drawing/2014/chart" uri="{C3380CC4-5D6E-409C-BE32-E72D297353CC}">
                <c16:uniqueId val="{00000003-5DA8-4FBA-850A-71FC807CC073}"/>
              </c:ext>
            </c:extLst>
          </c:dPt>
          <c:dPt>
            <c:idx val="2"/>
            <c:invertIfNegative val="0"/>
            <c:bubble3D val="0"/>
            <c:spPr>
              <a:solidFill>
                <a:srgbClr val="FF0000"/>
              </a:solidFill>
            </c:spPr>
            <c:extLst>
              <c:ext xmlns:c16="http://schemas.microsoft.com/office/drawing/2014/chart" uri="{C3380CC4-5D6E-409C-BE32-E72D297353CC}">
                <c16:uniqueId val="{00000005-5DA8-4FBA-850A-71FC807CC073}"/>
              </c:ext>
            </c:extLst>
          </c:dPt>
          <c:dPt>
            <c:idx val="3"/>
            <c:invertIfNegative val="0"/>
            <c:bubble3D val="0"/>
            <c:spPr>
              <a:solidFill>
                <a:srgbClr val="FFC000"/>
              </a:solidFill>
            </c:spPr>
            <c:extLst>
              <c:ext xmlns:c16="http://schemas.microsoft.com/office/drawing/2014/chart" uri="{C3380CC4-5D6E-409C-BE32-E72D297353CC}">
                <c16:uniqueId val="{00000007-5DA8-4FBA-850A-71FC807CC073}"/>
              </c:ext>
            </c:extLst>
          </c:dPt>
          <c:dPt>
            <c:idx val="4"/>
            <c:invertIfNegative val="0"/>
            <c:bubble3D val="0"/>
            <c:spPr>
              <a:solidFill>
                <a:srgbClr val="00B050"/>
              </a:solidFill>
            </c:spPr>
            <c:extLst>
              <c:ext xmlns:c16="http://schemas.microsoft.com/office/drawing/2014/chart" uri="{C3380CC4-5D6E-409C-BE32-E72D297353CC}">
                <c16:uniqueId val="{00000009-5DA8-4FBA-850A-71FC807CC073}"/>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PIVOT!$AB$13:$AB$18</c:f>
              <c:strCache>
                <c:ptCount val="5"/>
                <c:pt idx="0">
                  <c:v>18-25</c:v>
                </c:pt>
                <c:pt idx="1">
                  <c:v>26-35</c:v>
                </c:pt>
                <c:pt idx="2">
                  <c:v>36-45</c:v>
                </c:pt>
                <c:pt idx="3">
                  <c:v>46-55</c:v>
                </c:pt>
                <c:pt idx="4">
                  <c:v>56-65</c:v>
                </c:pt>
              </c:strCache>
            </c:strRef>
          </c:cat>
          <c:val>
            <c:numRef>
              <c:f>PIVOT!$AC$13:$AC$18</c:f>
              <c:numCache>
                <c:formatCode>General</c:formatCode>
                <c:ptCount val="5"/>
                <c:pt idx="0">
                  <c:v>21</c:v>
                </c:pt>
                <c:pt idx="1">
                  <c:v>141</c:v>
                </c:pt>
                <c:pt idx="2">
                  <c:v>141</c:v>
                </c:pt>
                <c:pt idx="3">
                  <c:v>141</c:v>
                </c:pt>
                <c:pt idx="4">
                  <c:v>70</c:v>
                </c:pt>
              </c:numCache>
            </c:numRef>
          </c:val>
          <c:extLst>
            <c:ext xmlns:c16="http://schemas.microsoft.com/office/drawing/2014/chart" uri="{C3380CC4-5D6E-409C-BE32-E72D297353CC}">
              <c16:uniqueId val="{0000000A-5DA8-4FBA-850A-71FC807CC073}"/>
            </c:ext>
          </c:extLst>
        </c:ser>
        <c:dLbls>
          <c:showLegendKey val="0"/>
          <c:showVal val="0"/>
          <c:showCatName val="0"/>
          <c:showSerName val="0"/>
          <c:showPercent val="0"/>
          <c:showBubbleSize val="0"/>
        </c:dLbls>
        <c:gapWidth val="150"/>
        <c:axId val="194765184"/>
        <c:axId val="194766720"/>
      </c:barChart>
      <c:catAx>
        <c:axId val="194765184"/>
        <c:scaling>
          <c:orientation val="minMax"/>
        </c:scaling>
        <c:delete val="0"/>
        <c:axPos val="b"/>
        <c:numFmt formatCode="General" sourceLinked="0"/>
        <c:majorTickMark val="out"/>
        <c:minorTickMark val="none"/>
        <c:tickLblPos val="nextTo"/>
        <c:crossAx val="194766720"/>
        <c:crosses val="autoZero"/>
        <c:auto val="1"/>
        <c:lblAlgn val="ctr"/>
        <c:lblOffset val="100"/>
        <c:noMultiLvlLbl val="0"/>
      </c:catAx>
      <c:valAx>
        <c:axId val="194766720"/>
        <c:scaling>
          <c:orientation val="minMax"/>
        </c:scaling>
        <c:delete val="0"/>
        <c:axPos val="l"/>
        <c:numFmt formatCode="General" sourceLinked="1"/>
        <c:majorTickMark val="out"/>
        <c:minorTickMark val="none"/>
        <c:tickLblPos val="nextTo"/>
        <c:crossAx val="194765184"/>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[Safty_data_Injury_Plant(AutoRecovered).xlsx]PIVOT!PivotTable17</c:name>
    <c:fmtId val="4"/>
  </c:pivotSource>
  <c:chart>
    <c:title>
      <c:tx>
        <c:rich>
          <a:bodyPr/>
          <a:lstStyle/>
          <a:p>
            <a:pPr>
              <a:defRPr/>
            </a:pPr>
            <a:r>
              <a:rPr lang="en-US" sz="1100">
                <a:solidFill>
                  <a:srgbClr val="7030A0"/>
                </a:solidFill>
              </a:rPr>
              <a:t>9. DAYS LOST BY PLANT</a:t>
            </a:r>
          </a:p>
        </c:rich>
      </c:tx>
      <c:layout>
        <c:manualLayout>
          <c:xMode val="edge"/>
          <c:yMode val="edge"/>
          <c:x val="3.8847534511719913E-2"/>
          <c:y val="4.6295289622303969E-3"/>
        </c:manualLayout>
      </c:layout>
      <c:overlay val="0"/>
    </c:title>
    <c:autoTitleDeleted val="0"/>
    <c:pivotFmts>
      <c:pivotFmt>
        <c:idx val="0"/>
        <c:spPr>
          <a:solidFill>
            <a:srgbClr val="7030A0"/>
          </a:solidFill>
        </c:spPr>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c:spPr>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c:spPr>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PIVOT!$AC$24</c:f>
              <c:strCache>
                <c:ptCount val="1"/>
                <c:pt idx="0">
                  <c:v>Total</c:v>
                </c:pt>
              </c:strCache>
            </c:strRef>
          </c:tx>
          <c:spPr>
            <a:solidFill>
              <a:srgbClr val="7030A0"/>
            </a:solidFill>
          </c:spPr>
          <c:invertIfNegative val="0"/>
          <c:dLbls>
            <c:spPr/>
            <c:txPr>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PIVOT!$AB$25:$AB$34</c:f>
              <c:strCache>
                <c:ptCount val="9"/>
                <c:pt idx="0">
                  <c:v>Hyderabad</c:v>
                </c:pt>
                <c:pt idx="1">
                  <c:v>Bangalore</c:v>
                </c:pt>
                <c:pt idx="2">
                  <c:v>Trivandrum</c:v>
                </c:pt>
                <c:pt idx="3">
                  <c:v>Kolkata</c:v>
                </c:pt>
                <c:pt idx="4">
                  <c:v>Jaipur</c:v>
                </c:pt>
                <c:pt idx="5">
                  <c:v>Chennai</c:v>
                </c:pt>
                <c:pt idx="6">
                  <c:v>Delhi</c:v>
                </c:pt>
                <c:pt idx="7">
                  <c:v>Mumbai</c:v>
                </c:pt>
                <c:pt idx="8">
                  <c:v>Bhopal</c:v>
                </c:pt>
              </c:strCache>
            </c:strRef>
          </c:cat>
          <c:val>
            <c:numRef>
              <c:f>PIVOT!$AC$25:$AC$34</c:f>
              <c:numCache>
                <c:formatCode>General</c:formatCode>
                <c:ptCount val="9"/>
                <c:pt idx="0">
                  <c:v>56.5</c:v>
                </c:pt>
                <c:pt idx="1">
                  <c:v>46</c:v>
                </c:pt>
                <c:pt idx="2">
                  <c:v>44.5</c:v>
                </c:pt>
                <c:pt idx="3">
                  <c:v>43.5</c:v>
                </c:pt>
                <c:pt idx="4">
                  <c:v>43.5</c:v>
                </c:pt>
                <c:pt idx="5">
                  <c:v>38.5</c:v>
                </c:pt>
                <c:pt idx="6">
                  <c:v>38.5</c:v>
                </c:pt>
                <c:pt idx="7">
                  <c:v>36.5</c:v>
                </c:pt>
                <c:pt idx="8">
                  <c:v>31</c:v>
                </c:pt>
              </c:numCache>
            </c:numRef>
          </c:val>
          <c:extLst>
            <c:ext xmlns:c16="http://schemas.microsoft.com/office/drawing/2014/chart" uri="{C3380CC4-5D6E-409C-BE32-E72D297353CC}">
              <c16:uniqueId val="{00000000-99C1-47B4-82A5-764653A8FEF0}"/>
            </c:ext>
          </c:extLst>
        </c:ser>
        <c:dLbls>
          <c:showLegendKey val="0"/>
          <c:showVal val="0"/>
          <c:showCatName val="0"/>
          <c:showSerName val="0"/>
          <c:showPercent val="0"/>
          <c:showBubbleSize val="0"/>
        </c:dLbls>
        <c:gapWidth val="39"/>
        <c:axId val="194802048"/>
        <c:axId val="194803584"/>
      </c:barChart>
      <c:catAx>
        <c:axId val="194802048"/>
        <c:scaling>
          <c:orientation val="minMax"/>
        </c:scaling>
        <c:delete val="0"/>
        <c:axPos val="b"/>
        <c:numFmt formatCode="General" sourceLinked="0"/>
        <c:majorTickMark val="out"/>
        <c:minorTickMark val="none"/>
        <c:tickLblPos val="nextTo"/>
        <c:txPr>
          <a:bodyPr/>
          <a:lstStyle/>
          <a:p>
            <a:pPr>
              <a:defRPr sz="800"/>
            </a:pPr>
            <a:endParaRPr lang="en-US"/>
          </a:p>
        </c:txPr>
        <c:crossAx val="194803584"/>
        <c:crosses val="autoZero"/>
        <c:auto val="1"/>
        <c:lblAlgn val="ctr"/>
        <c:lblOffset val="100"/>
        <c:noMultiLvlLbl val="0"/>
      </c:catAx>
      <c:valAx>
        <c:axId val="194803584"/>
        <c:scaling>
          <c:orientation val="minMax"/>
        </c:scaling>
        <c:delete val="0"/>
        <c:axPos val="l"/>
        <c:numFmt formatCode="General" sourceLinked="1"/>
        <c:majorTickMark val="out"/>
        <c:minorTickMark val="none"/>
        <c:tickLblPos val="nextTo"/>
        <c:txPr>
          <a:bodyPr/>
          <a:lstStyle/>
          <a:p>
            <a:pPr>
              <a:defRPr sz="800"/>
            </a:pPr>
            <a:endParaRPr lang="en-US"/>
          </a:p>
        </c:txPr>
        <c:crossAx val="194802048"/>
        <c:crosses val="autoZero"/>
        <c:crossBetween val="between"/>
      </c:valAx>
    </c:plotArea>
    <c:plotVisOnly val="1"/>
    <c:dispBlanksAs val="gap"/>
    <c:showDLblsOverMax val="0"/>
  </c:chart>
  <c:spPr>
    <a:ln>
      <a:solidFill>
        <a:schemeClr val="tx1">
          <a:alpha val="2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png"/><Relationship Id="rId5" Type="http://schemas.openxmlformats.org/officeDocument/2006/relationships/chart" Target="../charts/chart14.xml"/><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297180</xdr:colOff>
      <xdr:row>1</xdr:row>
      <xdr:rowOff>0</xdr:rowOff>
    </xdr:from>
    <xdr:to>
      <xdr:col>8</xdr:col>
      <xdr:colOff>0</xdr:colOff>
      <xdr:row>15</xdr:row>
      <xdr:rowOff>22860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17</xdr:row>
      <xdr:rowOff>0</xdr:rowOff>
    </xdr:from>
    <xdr:to>
      <xdr:col>8</xdr:col>
      <xdr:colOff>15240</xdr:colOff>
      <xdr:row>31</xdr:row>
      <xdr:rowOff>15240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198120</xdr:colOff>
      <xdr:row>1</xdr:row>
      <xdr:rowOff>15240</xdr:rowOff>
    </xdr:from>
    <xdr:to>
      <xdr:col>17</xdr:col>
      <xdr:colOff>419100</xdr:colOff>
      <xdr:row>12</xdr:row>
      <xdr:rowOff>83820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121920</xdr:colOff>
      <xdr:row>16</xdr:row>
      <xdr:rowOff>179070</xdr:rowOff>
    </xdr:from>
    <xdr:to>
      <xdr:col>17</xdr:col>
      <xdr:colOff>0</xdr:colOff>
      <xdr:row>29</xdr:row>
      <xdr:rowOff>106680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220980</xdr:colOff>
      <xdr:row>1</xdr:row>
      <xdr:rowOff>3810</xdr:rowOff>
    </xdr:from>
    <xdr:to>
      <xdr:col>25</xdr:col>
      <xdr:colOff>342900</xdr:colOff>
      <xdr:row>11</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457200</xdr:colOff>
      <xdr:row>17</xdr:row>
      <xdr:rowOff>144780</xdr:rowOff>
    </xdr:from>
    <xdr:to>
      <xdr:col>26</xdr:col>
      <xdr:colOff>0</xdr:colOff>
      <xdr:row>29</xdr:row>
      <xdr:rowOff>144780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243840</xdr:colOff>
      <xdr:row>0</xdr:row>
      <xdr:rowOff>22860</xdr:rowOff>
    </xdr:from>
    <xdr:to>
      <xdr:col>33</xdr:col>
      <xdr:colOff>320040</xdr:colOff>
      <xdr:row>9</xdr:row>
      <xdr:rowOff>38100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220980</xdr:colOff>
      <xdr:row>11</xdr:row>
      <xdr:rowOff>0</xdr:rowOff>
    </xdr:from>
    <xdr:to>
      <xdr:col>33</xdr:col>
      <xdr:colOff>335280</xdr:colOff>
      <xdr:row>22</xdr:row>
      <xdr:rowOff>45720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449580</xdr:colOff>
      <xdr:row>23</xdr:row>
      <xdr:rowOff>64770</xdr:rowOff>
    </xdr:from>
    <xdr:to>
      <xdr:col>34</xdr:col>
      <xdr:colOff>45720</xdr:colOff>
      <xdr:row>38</xdr:row>
      <xdr:rowOff>64770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7620</xdr:colOff>
      <xdr:row>0</xdr:row>
      <xdr:rowOff>114301</xdr:rowOff>
    </xdr:from>
    <xdr:to>
      <xdr:col>6</xdr:col>
      <xdr:colOff>607695</xdr:colOff>
      <xdr:row>6</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46020" y="114301"/>
              <a:ext cx="1828800"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594360</xdr:colOff>
      <xdr:row>19</xdr:row>
      <xdr:rowOff>0</xdr:rowOff>
    </xdr:from>
    <xdr:to>
      <xdr:col>6</xdr:col>
      <xdr:colOff>584835</xdr:colOff>
      <xdr:row>24</xdr:row>
      <xdr:rowOff>73152</xdr:rowOff>
    </xdr:to>
    <mc:AlternateContent xmlns:mc="http://schemas.openxmlformats.org/markup-compatibility/2006" xmlns:a14="http://schemas.microsoft.com/office/drawing/2010/main">
      <mc:Choice Requires="a14">
        <xdr:graphicFrame macro="">
          <xdr:nvGraphicFramePr>
            <xdr:cNvPr id="3" name="Shif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2423160" y="3474720"/>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6</xdr:row>
      <xdr:rowOff>109728</xdr:rowOff>
    </xdr:from>
    <xdr:to>
      <xdr:col>6</xdr:col>
      <xdr:colOff>600075</xdr:colOff>
      <xdr:row>12</xdr:row>
      <xdr:rowOff>0</xdr:rowOff>
    </xdr:to>
    <mc:AlternateContent xmlns:mc="http://schemas.openxmlformats.org/markup-compatibility/2006" xmlns:a14="http://schemas.microsoft.com/office/drawing/2010/main">
      <mc:Choice Requires="a14">
        <xdr:graphicFrame macro="">
          <xdr:nvGraphicFramePr>
            <xdr:cNvPr id="4" name="Injury Location">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Injury Location"/>
            </a:graphicData>
          </a:graphic>
        </xdr:graphicFrame>
      </mc:Choice>
      <mc:Fallback xmlns="">
        <xdr:sp macro="" textlink="">
          <xdr:nvSpPr>
            <xdr:cNvPr id="0" name=""/>
            <xdr:cNvSpPr>
              <a:spLocks noTextEdit="1"/>
            </xdr:cNvSpPr>
          </xdr:nvSpPr>
          <xdr:spPr>
            <a:xfrm>
              <a:off x="2438400" y="1207008"/>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13</xdr:row>
      <xdr:rowOff>1</xdr:rowOff>
    </xdr:from>
    <xdr:to>
      <xdr:col>6</xdr:col>
      <xdr:colOff>600075</xdr:colOff>
      <xdr:row>18</xdr:row>
      <xdr:rowOff>73153</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38400" y="2377441"/>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38</xdr:row>
      <xdr:rowOff>0</xdr:rowOff>
    </xdr:from>
    <xdr:to>
      <xdr:col>6</xdr:col>
      <xdr:colOff>600075</xdr:colOff>
      <xdr:row>43</xdr:row>
      <xdr:rowOff>73152</xdr:rowOff>
    </xdr:to>
    <mc:AlternateContent xmlns:mc="http://schemas.openxmlformats.org/markup-compatibility/2006" xmlns:a14="http://schemas.microsoft.com/office/drawing/2010/main">
      <mc:Choice Requires="a14">
        <xdr:graphicFrame macro="">
          <xdr:nvGraphicFramePr>
            <xdr:cNvPr id="6" name="Incident Typ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Incident Type"/>
            </a:graphicData>
          </a:graphic>
        </xdr:graphicFrame>
      </mc:Choice>
      <mc:Fallback xmlns="">
        <xdr:sp macro="" textlink="">
          <xdr:nvSpPr>
            <xdr:cNvPr id="0" name=""/>
            <xdr:cNvSpPr>
              <a:spLocks noTextEdit="1"/>
            </xdr:cNvSpPr>
          </xdr:nvSpPr>
          <xdr:spPr>
            <a:xfrm>
              <a:off x="2438400" y="6949440"/>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25</xdr:row>
      <xdr:rowOff>22860</xdr:rowOff>
    </xdr:from>
    <xdr:to>
      <xdr:col>6</xdr:col>
      <xdr:colOff>600075</xdr:colOff>
      <xdr:row>30</xdr:row>
      <xdr:rowOff>96012</xdr:rowOff>
    </xdr:to>
    <mc:AlternateContent xmlns:mc="http://schemas.openxmlformats.org/markup-compatibility/2006" xmlns:a14="http://schemas.microsoft.com/office/drawing/2010/main">
      <mc:Choice Requires="a14">
        <xdr:graphicFrame macro="">
          <xdr:nvGraphicFramePr>
            <xdr:cNvPr id="7" name="Report Typ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Report Type"/>
            </a:graphicData>
          </a:graphic>
        </xdr:graphicFrame>
      </mc:Choice>
      <mc:Fallback xmlns="">
        <xdr:sp macro="" textlink="">
          <xdr:nvSpPr>
            <xdr:cNvPr id="0" name=""/>
            <xdr:cNvSpPr>
              <a:spLocks noTextEdit="1"/>
            </xdr:cNvSpPr>
          </xdr:nvSpPr>
          <xdr:spPr>
            <a:xfrm>
              <a:off x="2438400" y="4594860"/>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31</xdr:row>
      <xdr:rowOff>109728</xdr:rowOff>
    </xdr:from>
    <xdr:to>
      <xdr:col>6</xdr:col>
      <xdr:colOff>600075</xdr:colOff>
      <xdr:row>37</xdr:row>
      <xdr:rowOff>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38400" y="5779008"/>
              <a:ext cx="1828800" cy="9875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333375</xdr:colOff>
      <xdr:row>0</xdr:row>
      <xdr:rowOff>152400</xdr:rowOff>
    </xdr:from>
    <xdr:to>
      <xdr:col>12</xdr:col>
      <xdr:colOff>333375</xdr:colOff>
      <xdr:row>14</xdr:row>
      <xdr:rowOff>9525</xdr:rowOff>
    </xdr:to>
    <mc:AlternateContent xmlns:mc="http://schemas.openxmlformats.org/markup-compatibility/2006" xmlns:a14="http://schemas.microsoft.com/office/drawing/2010/main">
      <mc:Choice Requires="a14">
        <xdr:graphicFrame macro="">
          <xdr:nvGraphicFramePr>
            <xdr:cNvPr id="11" name="Plant">
              <a:extLst>
                <a:ext uri="{FF2B5EF4-FFF2-40B4-BE49-F238E27FC236}">
                  <a16:creationId xmlns:a16="http://schemas.microsoft.com/office/drawing/2014/main" id="{8BBC4302-A2B5-28A6-9C2E-0F32D8D48B17}"/>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609600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25</xdr:col>
      <xdr:colOff>425824</xdr:colOff>
      <xdr:row>6</xdr:row>
      <xdr:rowOff>11206</xdr:rowOff>
    </xdr:from>
    <xdr:to>
      <xdr:col>28</xdr:col>
      <xdr:colOff>72959</xdr:colOff>
      <xdr:row>46</xdr:row>
      <xdr:rowOff>179294</xdr:rowOff>
    </xdr:to>
    <xdr:sp macro="" textlink="">
      <xdr:nvSpPr>
        <xdr:cNvPr id="3" name="Rounded Rectangle 53">
          <a:extLst>
            <a:ext uri="{FF2B5EF4-FFF2-40B4-BE49-F238E27FC236}">
              <a16:creationId xmlns:a16="http://schemas.microsoft.com/office/drawing/2014/main" id="{D666F521-AEE9-42E8-AE99-CAD179E748FB}"/>
            </a:ext>
          </a:extLst>
        </xdr:cNvPr>
        <xdr:cNvSpPr/>
      </xdr:nvSpPr>
      <xdr:spPr>
        <a:xfrm>
          <a:off x="15273618" y="1176618"/>
          <a:ext cx="1428870" cy="7788088"/>
        </a:xfrm>
        <a:prstGeom prst="roundRect">
          <a:avLst>
            <a:gd name="adj" fmla="val 0"/>
          </a:avLst>
        </a:prstGeom>
        <a:solidFill>
          <a:schemeClr val="accent4">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149678</xdr:colOff>
      <xdr:row>38</xdr:row>
      <xdr:rowOff>136073</xdr:rowOff>
    </xdr:from>
    <xdr:to>
      <xdr:col>25</xdr:col>
      <xdr:colOff>367553</xdr:colOff>
      <xdr:row>47</xdr:row>
      <xdr:rowOff>13607</xdr:rowOff>
    </xdr:to>
    <xdr:sp macro="" textlink="">
      <xdr:nvSpPr>
        <xdr:cNvPr id="61" name="Rectangle: Rounded Corners 60">
          <a:extLst>
            <a:ext uri="{FF2B5EF4-FFF2-40B4-BE49-F238E27FC236}">
              <a16:creationId xmlns:a16="http://schemas.microsoft.com/office/drawing/2014/main" id="{00000000-0008-0000-0300-00003D000000}"/>
            </a:ext>
          </a:extLst>
        </xdr:cNvPr>
        <xdr:cNvSpPr/>
      </xdr:nvSpPr>
      <xdr:spPr>
        <a:xfrm>
          <a:off x="2490107" y="7674430"/>
          <a:ext cx="12505125" cy="1592034"/>
        </a:xfrm>
        <a:prstGeom prst="roundRect">
          <a:avLst>
            <a:gd name="adj" fmla="val 8730"/>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134470</xdr:colOff>
      <xdr:row>4</xdr:row>
      <xdr:rowOff>125506</xdr:rowOff>
    </xdr:from>
    <xdr:to>
      <xdr:col>25</xdr:col>
      <xdr:colOff>331694</xdr:colOff>
      <xdr:row>38</xdr:row>
      <xdr:rowOff>62753</xdr:rowOff>
    </xdr:to>
    <xdr:sp macro="" textlink="">
      <xdr:nvSpPr>
        <xdr:cNvPr id="55" name="Rounded Rectangle 54">
          <a:extLst>
            <a:ext uri="{FF2B5EF4-FFF2-40B4-BE49-F238E27FC236}">
              <a16:creationId xmlns:a16="http://schemas.microsoft.com/office/drawing/2014/main" id="{00000000-0008-0000-0300-000037000000}"/>
            </a:ext>
          </a:extLst>
        </xdr:cNvPr>
        <xdr:cNvSpPr/>
      </xdr:nvSpPr>
      <xdr:spPr>
        <a:xfrm>
          <a:off x="2474899" y="1186863"/>
          <a:ext cx="12484474" cy="6414247"/>
        </a:xfrm>
        <a:prstGeom prst="roundRect">
          <a:avLst>
            <a:gd name="adj" fmla="val 1697"/>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394447</xdr:colOff>
      <xdr:row>6</xdr:row>
      <xdr:rowOff>8963</xdr:rowOff>
    </xdr:from>
    <xdr:to>
      <xdr:col>4</xdr:col>
      <xdr:colOff>41582</xdr:colOff>
      <xdr:row>47</xdr:row>
      <xdr:rowOff>27214</xdr:rowOff>
    </xdr:to>
    <xdr:sp macro="" textlink="">
      <xdr:nvSpPr>
        <xdr:cNvPr id="54" name="Rounded Rectangle 53">
          <a:extLst>
            <a:ext uri="{FF2B5EF4-FFF2-40B4-BE49-F238E27FC236}">
              <a16:creationId xmlns:a16="http://schemas.microsoft.com/office/drawing/2014/main" id="{00000000-0008-0000-0300-000036000000}"/>
            </a:ext>
          </a:extLst>
        </xdr:cNvPr>
        <xdr:cNvSpPr/>
      </xdr:nvSpPr>
      <xdr:spPr>
        <a:xfrm>
          <a:off x="979554" y="1451320"/>
          <a:ext cx="1402457" cy="7828751"/>
        </a:xfrm>
        <a:prstGeom prst="roundRect">
          <a:avLst>
            <a:gd name="adj" fmla="val 0"/>
          </a:avLst>
        </a:prstGeom>
        <a:solidFill>
          <a:schemeClr val="accent4">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190500</xdr:colOff>
      <xdr:row>8</xdr:row>
      <xdr:rowOff>168088</xdr:rowOff>
    </xdr:from>
    <xdr:to>
      <xdr:col>9</xdr:col>
      <xdr:colOff>320040</xdr:colOff>
      <xdr:row>17</xdr:row>
      <xdr:rowOff>121920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8</xdr:row>
      <xdr:rowOff>169333</xdr:rowOff>
    </xdr:from>
    <xdr:to>
      <xdr:col>14</xdr:col>
      <xdr:colOff>510540</xdr:colOff>
      <xdr:row>17</xdr:row>
      <xdr:rowOff>112607</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571500</xdr:colOff>
      <xdr:row>8</xdr:row>
      <xdr:rowOff>152400</xdr:rowOff>
    </xdr:from>
    <xdr:to>
      <xdr:col>20</xdr:col>
      <xdr:colOff>60960</xdr:colOff>
      <xdr:row>17</xdr:row>
      <xdr:rowOff>118533</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130387</xdr:colOff>
      <xdr:row>8</xdr:row>
      <xdr:rowOff>143934</xdr:rowOff>
    </xdr:from>
    <xdr:to>
      <xdr:col>25</xdr:col>
      <xdr:colOff>237067</xdr:colOff>
      <xdr:row>17</xdr:row>
      <xdr:rowOff>127000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177799</xdr:colOff>
      <xdr:row>17</xdr:row>
      <xdr:rowOff>169333</xdr:rowOff>
    </xdr:from>
    <xdr:to>
      <xdr:col>9</xdr:col>
      <xdr:colOff>338666</xdr:colOff>
      <xdr:row>27</xdr:row>
      <xdr:rowOff>67734</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397934</xdr:colOff>
      <xdr:row>17</xdr:row>
      <xdr:rowOff>169333</xdr:rowOff>
    </xdr:from>
    <xdr:to>
      <xdr:col>14</xdr:col>
      <xdr:colOff>516466</xdr:colOff>
      <xdr:row>27</xdr:row>
      <xdr:rowOff>84667</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575732</xdr:colOff>
      <xdr:row>17</xdr:row>
      <xdr:rowOff>169329</xdr:rowOff>
    </xdr:from>
    <xdr:to>
      <xdr:col>20</xdr:col>
      <xdr:colOff>67733</xdr:colOff>
      <xdr:row>27</xdr:row>
      <xdr:rowOff>65697</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126999</xdr:colOff>
      <xdr:row>17</xdr:row>
      <xdr:rowOff>169333</xdr:rowOff>
    </xdr:from>
    <xdr:to>
      <xdr:col>25</xdr:col>
      <xdr:colOff>262467</xdr:colOff>
      <xdr:row>27</xdr:row>
      <xdr:rowOff>84667</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186266</xdr:colOff>
      <xdr:row>27</xdr:row>
      <xdr:rowOff>136963</xdr:rowOff>
    </xdr:from>
    <xdr:to>
      <xdr:col>9</xdr:col>
      <xdr:colOff>349624</xdr:colOff>
      <xdr:row>37</xdr:row>
      <xdr:rowOff>170828</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211664</xdr:colOff>
      <xdr:row>5</xdr:row>
      <xdr:rowOff>0</xdr:rowOff>
    </xdr:from>
    <xdr:to>
      <xdr:col>8</xdr:col>
      <xdr:colOff>228607</xdr:colOff>
      <xdr:row>8</xdr:row>
      <xdr:rowOff>112058</xdr:rowOff>
    </xdr:to>
    <xdr:grpSp>
      <xdr:nvGrpSpPr>
        <xdr:cNvPr id="23" name="Group 22">
          <a:extLst>
            <a:ext uri="{FF2B5EF4-FFF2-40B4-BE49-F238E27FC236}">
              <a16:creationId xmlns:a16="http://schemas.microsoft.com/office/drawing/2014/main" id="{00000000-0008-0000-0300-000017000000}"/>
            </a:ext>
          </a:extLst>
        </xdr:cNvPr>
        <xdr:cNvGrpSpPr/>
      </xdr:nvGrpSpPr>
      <xdr:grpSpPr>
        <a:xfrm>
          <a:off x="2552093" y="1251857"/>
          <a:ext cx="2357371" cy="683558"/>
          <a:chOff x="2040465" y="1202265"/>
          <a:chExt cx="2387602" cy="712558"/>
        </a:xfrm>
      </xdr:grpSpPr>
      <xdr:sp macro="" textlink="">
        <xdr:nvSpPr>
          <xdr:cNvPr id="17" name="Rounded Rectangle 16">
            <a:extLst>
              <a:ext uri="{FF2B5EF4-FFF2-40B4-BE49-F238E27FC236}">
                <a16:creationId xmlns:a16="http://schemas.microsoft.com/office/drawing/2014/main" id="{00000000-0008-0000-0300-000011000000}"/>
              </a:ext>
            </a:extLst>
          </xdr:cNvPr>
          <xdr:cNvSpPr/>
        </xdr:nvSpPr>
        <xdr:spPr>
          <a:xfrm>
            <a:off x="2040465" y="1202265"/>
            <a:ext cx="2387602" cy="712558"/>
          </a:xfrm>
          <a:prstGeom prst="roundRect">
            <a:avLst/>
          </a:prstGeom>
          <a:solidFill>
            <a:schemeClr val="bg1"/>
          </a:solidFill>
          <a:ln w="3175">
            <a:solidFill>
              <a:schemeClr val="tx1">
                <a:alpha val="2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2131030" y="1269998"/>
            <a:ext cx="612169" cy="601135"/>
          </a:xfrm>
          <a:prstGeom prst="round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a:ln>
            <a:noFill/>
          </a:ln>
          <a:effectLst>
            <a:glow rad="635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DASHBOARD!$AA$6">
        <xdr:nvSpPr>
          <xdr:cNvPr id="16" name="Rounded Rectangle 15">
            <a:extLst>
              <a:ext uri="{FF2B5EF4-FFF2-40B4-BE49-F238E27FC236}">
                <a16:creationId xmlns:a16="http://schemas.microsoft.com/office/drawing/2014/main" id="{00000000-0008-0000-0300-000010000000}"/>
              </a:ext>
            </a:extLst>
          </xdr:cNvPr>
          <xdr:cNvSpPr/>
        </xdr:nvSpPr>
        <xdr:spPr>
          <a:xfrm>
            <a:off x="3014130" y="1450158"/>
            <a:ext cx="749689" cy="452986"/>
          </a:xfrm>
          <a:prstGeom prst="roundRect">
            <a:avLst>
              <a:gd name="adj" fmla="val 2416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F122674-AB12-4813-8A80-EDDC2AEDC09D}" type="TxLink">
              <a:rPr lang="en-US" sz="1600" b="1" i="0" u="none" strike="noStrike">
                <a:ln>
                  <a:solidFill>
                    <a:srgbClr val="0070C0"/>
                  </a:solidFill>
                </a:ln>
                <a:solidFill>
                  <a:srgbClr val="002060"/>
                </a:solidFill>
                <a:latin typeface="Calibri"/>
                <a:cs typeface="Calibri"/>
              </a:rPr>
              <a:pPr algn="ctr"/>
              <a:t>514</a:t>
            </a:fld>
            <a:endParaRPr lang="en-US" sz="1600" b="1">
              <a:ln>
                <a:solidFill>
                  <a:srgbClr val="0070C0"/>
                </a:solidFill>
              </a:ln>
              <a:solidFill>
                <a:srgbClr val="002060"/>
              </a:solidFill>
              <a:latin typeface="Arial Black" pitchFamily="34" charset="0"/>
              <a:cs typeface="Calibri Light" pitchFamily="34" charset="0"/>
            </a:endParaRPr>
          </a:p>
        </xdr:txBody>
      </xdr:sp>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2751667" y="1244596"/>
            <a:ext cx="1540933" cy="29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solidFill>
                    <a:srgbClr val="0070C0"/>
                  </a:solidFill>
                </a:ln>
                <a:solidFill>
                  <a:srgbClr val="0070C0"/>
                </a:solidFill>
                <a:effectLst>
                  <a:innerShdw blurRad="63500" dist="50800" dir="10800000">
                    <a:prstClr val="black">
                      <a:alpha val="50000"/>
                    </a:prstClr>
                  </a:innerShdw>
                </a:effectLst>
                <a:latin typeface="Calibri Light" pitchFamily="34" charset="0"/>
                <a:cs typeface="Calibri Light" pitchFamily="34" charset="0"/>
              </a:rPr>
              <a:t>TOTAL</a:t>
            </a:r>
            <a:r>
              <a:rPr lang="en-US" sz="1400" b="1" baseline="0">
                <a:ln>
                  <a:solidFill>
                    <a:srgbClr val="0070C0"/>
                  </a:solidFill>
                </a:ln>
                <a:solidFill>
                  <a:srgbClr val="0070C0"/>
                </a:solidFill>
                <a:effectLst>
                  <a:innerShdw blurRad="63500" dist="50800" dir="10800000">
                    <a:prstClr val="black">
                      <a:alpha val="50000"/>
                    </a:prstClr>
                  </a:innerShdw>
                </a:effectLst>
                <a:latin typeface="Calibri Light" pitchFamily="34" charset="0"/>
                <a:cs typeface="Calibri Light" pitchFamily="34" charset="0"/>
              </a:rPr>
              <a:t> INCIDENTS</a:t>
            </a:r>
            <a:endParaRPr lang="en-US" sz="1400" b="1">
              <a:ln>
                <a:solidFill>
                  <a:srgbClr val="0070C0"/>
                </a:solidFill>
              </a:ln>
              <a:solidFill>
                <a:srgbClr val="0070C0"/>
              </a:solidFill>
              <a:effectLst>
                <a:innerShdw blurRad="63500" dist="50800" dir="10800000">
                  <a:prstClr val="black">
                    <a:alpha val="50000"/>
                  </a:prstClr>
                </a:innerShdw>
              </a:effectLst>
              <a:latin typeface="Calibri Light" pitchFamily="34" charset="0"/>
              <a:cs typeface="Calibri Light" pitchFamily="34" charset="0"/>
            </a:endParaRPr>
          </a:p>
        </xdr:txBody>
      </xdr:sp>
    </xdr:grpSp>
    <xdr:clientData/>
  </xdr:twoCellAnchor>
  <xdr:twoCellAnchor>
    <xdr:from>
      <xdr:col>8</xdr:col>
      <xdr:colOff>364063</xdr:colOff>
      <xdr:row>5</xdr:row>
      <xdr:rowOff>0</xdr:rowOff>
    </xdr:from>
    <xdr:to>
      <xdr:col>12</xdr:col>
      <xdr:colOff>381006</xdr:colOff>
      <xdr:row>8</xdr:row>
      <xdr:rowOff>118533</xdr:rowOff>
    </xdr:to>
    <xdr:grpSp>
      <xdr:nvGrpSpPr>
        <xdr:cNvPr id="24" name="Group 23">
          <a:extLst>
            <a:ext uri="{FF2B5EF4-FFF2-40B4-BE49-F238E27FC236}">
              <a16:creationId xmlns:a16="http://schemas.microsoft.com/office/drawing/2014/main" id="{00000000-0008-0000-0300-000018000000}"/>
            </a:ext>
          </a:extLst>
        </xdr:cNvPr>
        <xdr:cNvGrpSpPr/>
      </xdr:nvGrpSpPr>
      <xdr:grpSpPr>
        <a:xfrm>
          <a:off x="5044920" y="1251857"/>
          <a:ext cx="2357372" cy="690033"/>
          <a:chOff x="2040465" y="1202265"/>
          <a:chExt cx="2387602" cy="728134"/>
        </a:xfrm>
      </xdr:grpSpPr>
      <xdr:sp macro="" textlink="">
        <xdr:nvSpPr>
          <xdr:cNvPr id="25" name="Rounded Rectangle 24">
            <a:extLst>
              <a:ext uri="{FF2B5EF4-FFF2-40B4-BE49-F238E27FC236}">
                <a16:creationId xmlns:a16="http://schemas.microsoft.com/office/drawing/2014/main" id="{00000000-0008-0000-0300-000019000000}"/>
              </a:ext>
            </a:extLst>
          </xdr:cNvPr>
          <xdr:cNvSpPr/>
        </xdr:nvSpPr>
        <xdr:spPr>
          <a:xfrm>
            <a:off x="2040465" y="1202265"/>
            <a:ext cx="2387602" cy="728134"/>
          </a:xfrm>
          <a:prstGeom prst="roundRect">
            <a:avLst/>
          </a:prstGeom>
          <a:solidFill>
            <a:schemeClr val="bg1"/>
          </a:solidFill>
          <a:ln w="3175">
            <a:solidFill>
              <a:schemeClr val="tx1">
                <a:alpha val="2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sp macro="" textlink="">
        <xdr:nvSpPr>
          <xdr:cNvPr id="26" name="Rounded Rectangle 25">
            <a:extLst>
              <a:ext uri="{FF2B5EF4-FFF2-40B4-BE49-F238E27FC236}">
                <a16:creationId xmlns:a16="http://schemas.microsoft.com/office/drawing/2014/main" id="{00000000-0008-0000-0300-00001A000000}"/>
              </a:ext>
            </a:extLst>
          </xdr:cNvPr>
          <xdr:cNvSpPr/>
        </xdr:nvSpPr>
        <xdr:spPr>
          <a:xfrm>
            <a:off x="2089866" y="1278466"/>
            <a:ext cx="529836" cy="584200"/>
          </a:xfrm>
          <a:prstGeom prst="round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A$7">
        <xdr:nvSpPr>
          <xdr:cNvPr id="27" name="Rounded Rectangle 26">
            <a:extLst>
              <a:ext uri="{FF2B5EF4-FFF2-40B4-BE49-F238E27FC236}">
                <a16:creationId xmlns:a16="http://schemas.microsoft.com/office/drawing/2014/main" id="{00000000-0008-0000-0300-00001B000000}"/>
              </a:ext>
            </a:extLst>
          </xdr:cNvPr>
          <xdr:cNvSpPr/>
        </xdr:nvSpPr>
        <xdr:spPr>
          <a:xfrm>
            <a:off x="2534456" y="1407073"/>
            <a:ext cx="1687780" cy="516466"/>
          </a:xfrm>
          <a:prstGeom prst="roundRect">
            <a:avLst>
              <a:gd name="adj" fmla="val 2416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ln>
                  <a:solidFill>
                    <a:srgbClr val="92D050"/>
                  </a:solidFill>
                </a:ln>
                <a:solidFill>
                  <a:srgbClr val="00B050"/>
                </a:solidFill>
                <a:latin typeface="Calibri"/>
                <a:cs typeface="Calibri"/>
              </a:rPr>
              <a:t>₹</a:t>
            </a:r>
            <a:r>
              <a:rPr lang="en-US" sz="1600" b="1" i="0" u="none" strike="noStrike" baseline="0">
                <a:ln>
                  <a:solidFill>
                    <a:srgbClr val="92D050"/>
                  </a:solidFill>
                </a:ln>
                <a:solidFill>
                  <a:srgbClr val="00B050"/>
                </a:solidFill>
                <a:latin typeface="Calibri"/>
                <a:cs typeface="Calibri"/>
              </a:rPr>
              <a:t> </a:t>
            </a:r>
            <a:fld id="{5CFC0083-9878-41A2-9FAF-DB49F052DBF3}" type="TxLink">
              <a:rPr lang="en-US" sz="1600" b="1" i="0" u="none" strike="noStrike">
                <a:ln>
                  <a:solidFill>
                    <a:srgbClr val="92D050"/>
                  </a:solidFill>
                </a:ln>
                <a:solidFill>
                  <a:srgbClr val="00B050"/>
                </a:solidFill>
                <a:latin typeface="Calibri"/>
                <a:cs typeface="Calibri"/>
              </a:rPr>
              <a:pPr algn="ctr"/>
              <a:t>717795</a:t>
            </a:fld>
            <a:endParaRPr lang="en-US" sz="1600" b="1">
              <a:ln>
                <a:solidFill>
                  <a:srgbClr val="92D050"/>
                </a:solidFill>
              </a:ln>
              <a:solidFill>
                <a:srgbClr val="00B050"/>
              </a:solidFill>
              <a:latin typeface="Arial Black" pitchFamily="34" charset="0"/>
              <a:cs typeface="Calibri Light" pitchFamily="34" charset="0"/>
            </a:endParaRPr>
          </a:p>
        </xdr:txBody>
      </xdr:sp>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2751667" y="1244596"/>
            <a:ext cx="1540932" cy="29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solidFill>
                    <a:srgbClr val="00B050"/>
                  </a:solidFill>
                </a:ln>
                <a:solidFill>
                  <a:srgbClr val="92D050"/>
                </a:solidFill>
                <a:effectLst>
                  <a:innerShdw blurRad="63500" dist="50800" dir="10800000">
                    <a:prstClr val="black">
                      <a:alpha val="50000"/>
                    </a:prstClr>
                  </a:innerShdw>
                </a:effectLst>
                <a:latin typeface="Calibri Light" pitchFamily="34" charset="0"/>
                <a:cs typeface="Calibri Light" pitchFamily="34" charset="0"/>
              </a:rPr>
              <a:t>TOTAL</a:t>
            </a:r>
            <a:r>
              <a:rPr lang="en-US" sz="1400" b="1" baseline="0">
                <a:ln>
                  <a:solidFill>
                    <a:srgbClr val="00B050"/>
                  </a:solidFill>
                </a:ln>
                <a:solidFill>
                  <a:srgbClr val="92D050"/>
                </a:solidFill>
                <a:effectLst>
                  <a:innerShdw blurRad="63500" dist="50800" dir="10800000">
                    <a:prstClr val="black">
                      <a:alpha val="50000"/>
                    </a:prstClr>
                  </a:innerShdw>
                </a:effectLst>
                <a:latin typeface="Calibri Light" pitchFamily="34" charset="0"/>
                <a:cs typeface="Calibri Light" pitchFamily="34" charset="0"/>
              </a:rPr>
              <a:t> </a:t>
            </a:r>
            <a:r>
              <a:rPr lang="en-US" sz="1400" b="1" baseline="0">
                <a:ln>
                  <a:solidFill>
                    <a:srgbClr val="00B050"/>
                  </a:solidFill>
                </a:ln>
                <a:solidFill>
                  <a:srgbClr val="92D050"/>
                </a:solidFill>
                <a:effectLst>
                  <a:innerShdw blurRad="63500" dist="50800" dir="10800000">
                    <a:prstClr val="black">
                      <a:alpha val="50000"/>
                    </a:prstClr>
                  </a:innerShdw>
                </a:effectLst>
                <a:latin typeface="Calibri Light" pitchFamily="34" charset="0"/>
                <a:ea typeface="+mn-ea"/>
                <a:cs typeface="Calibri Light" pitchFamily="34" charset="0"/>
              </a:rPr>
              <a:t>COST</a:t>
            </a:r>
            <a:r>
              <a:rPr lang="en-US" sz="1400" b="1" baseline="0">
                <a:ln>
                  <a:solidFill>
                    <a:srgbClr val="00B050"/>
                  </a:solidFill>
                </a:ln>
                <a:solidFill>
                  <a:srgbClr val="92D050"/>
                </a:solidFill>
                <a:effectLst>
                  <a:innerShdw blurRad="63500" dist="50800" dir="10800000">
                    <a:prstClr val="black">
                      <a:alpha val="50000"/>
                    </a:prstClr>
                  </a:innerShdw>
                </a:effectLst>
                <a:latin typeface="Calibri Light" pitchFamily="34" charset="0"/>
                <a:cs typeface="Calibri Light" pitchFamily="34" charset="0"/>
              </a:rPr>
              <a:t> </a:t>
            </a:r>
            <a:r>
              <a:rPr lang="en-US" sz="1400" b="1" i="0">
                <a:ln>
                  <a:solidFill>
                    <a:srgbClr val="00B050"/>
                  </a:solidFill>
                </a:ln>
                <a:solidFill>
                  <a:srgbClr val="92D050"/>
                </a:solidFill>
                <a:effectLst/>
                <a:latin typeface="+mn-lt"/>
                <a:ea typeface="+mn-ea"/>
                <a:cs typeface="+mn-cs"/>
              </a:rPr>
              <a:t>(₹</a:t>
            </a:r>
            <a:r>
              <a:rPr lang="en-US" sz="1400" b="0" i="0">
                <a:ln>
                  <a:solidFill>
                    <a:srgbClr val="00B050"/>
                  </a:solidFill>
                </a:ln>
                <a:solidFill>
                  <a:srgbClr val="92D050"/>
                </a:solidFill>
                <a:effectLst/>
                <a:latin typeface="+mn-lt"/>
                <a:ea typeface="+mn-ea"/>
                <a:cs typeface="+mn-cs"/>
              </a:rPr>
              <a:t>)</a:t>
            </a:r>
            <a:endParaRPr lang="en-US" sz="1400" b="1">
              <a:ln>
                <a:solidFill>
                  <a:srgbClr val="00B050"/>
                </a:solidFill>
              </a:ln>
              <a:solidFill>
                <a:srgbClr val="92D050"/>
              </a:solidFill>
              <a:effectLst>
                <a:innerShdw blurRad="63500" dist="50800" dir="10800000">
                  <a:prstClr val="black">
                    <a:alpha val="50000"/>
                  </a:prstClr>
                </a:innerShdw>
              </a:effectLst>
              <a:latin typeface="Calibri Light" pitchFamily="34" charset="0"/>
              <a:cs typeface="Calibri Light" pitchFamily="34" charset="0"/>
            </a:endParaRPr>
          </a:p>
        </xdr:txBody>
      </xdr:sp>
    </xdr:grpSp>
    <xdr:clientData/>
  </xdr:twoCellAnchor>
  <xdr:twoCellAnchor>
    <xdr:from>
      <xdr:col>12</xdr:col>
      <xdr:colOff>499532</xdr:colOff>
      <xdr:row>4</xdr:row>
      <xdr:rowOff>170330</xdr:rowOff>
    </xdr:from>
    <xdr:to>
      <xdr:col>16</xdr:col>
      <xdr:colOff>533418</xdr:colOff>
      <xdr:row>8</xdr:row>
      <xdr:rowOff>135965</xdr:rowOff>
    </xdr:to>
    <xdr:grpSp>
      <xdr:nvGrpSpPr>
        <xdr:cNvPr id="29" name="Group 28">
          <a:extLst>
            <a:ext uri="{FF2B5EF4-FFF2-40B4-BE49-F238E27FC236}">
              <a16:creationId xmlns:a16="http://schemas.microsoft.com/office/drawing/2014/main" id="{00000000-0008-0000-0300-00001D000000}"/>
            </a:ext>
          </a:extLst>
        </xdr:cNvPr>
        <xdr:cNvGrpSpPr/>
      </xdr:nvGrpSpPr>
      <xdr:grpSpPr>
        <a:xfrm>
          <a:off x="7520818" y="1231687"/>
          <a:ext cx="2374314" cy="727635"/>
          <a:chOff x="2023989" y="1193797"/>
          <a:chExt cx="2404078" cy="762002"/>
        </a:xfrm>
      </xdr:grpSpPr>
      <xdr:sp macro="" textlink="">
        <xdr:nvSpPr>
          <xdr:cNvPr id="30" name="Rounded Rectangle 29">
            <a:extLst>
              <a:ext uri="{FF2B5EF4-FFF2-40B4-BE49-F238E27FC236}">
                <a16:creationId xmlns:a16="http://schemas.microsoft.com/office/drawing/2014/main" id="{00000000-0008-0000-0300-00001E000000}"/>
              </a:ext>
            </a:extLst>
          </xdr:cNvPr>
          <xdr:cNvSpPr/>
        </xdr:nvSpPr>
        <xdr:spPr>
          <a:xfrm>
            <a:off x="2040465" y="1202265"/>
            <a:ext cx="2387602" cy="728134"/>
          </a:xfrm>
          <a:prstGeom prst="roundRect">
            <a:avLst/>
          </a:prstGeom>
          <a:solidFill>
            <a:schemeClr val="bg1"/>
          </a:solidFill>
          <a:ln w="3175">
            <a:solidFill>
              <a:schemeClr val="tx1">
                <a:alpha val="2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ounded Rectangle 30">
            <a:extLst>
              <a:ext uri="{FF2B5EF4-FFF2-40B4-BE49-F238E27FC236}">
                <a16:creationId xmlns:a16="http://schemas.microsoft.com/office/drawing/2014/main" id="{00000000-0008-0000-0300-00001F000000}"/>
              </a:ext>
            </a:extLst>
          </xdr:cNvPr>
          <xdr:cNvSpPr/>
        </xdr:nvSpPr>
        <xdr:spPr>
          <a:xfrm>
            <a:off x="2023989" y="1193797"/>
            <a:ext cx="719210" cy="762002"/>
          </a:xfrm>
          <a:prstGeom prst="roundRect">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a:ln>
            <a:no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A$8">
        <xdr:nvSpPr>
          <xdr:cNvPr id="32" name="Rounded Rectangle 31">
            <a:extLst>
              <a:ext uri="{FF2B5EF4-FFF2-40B4-BE49-F238E27FC236}">
                <a16:creationId xmlns:a16="http://schemas.microsoft.com/office/drawing/2014/main" id="{00000000-0008-0000-0300-000020000000}"/>
              </a:ext>
            </a:extLst>
          </xdr:cNvPr>
          <xdr:cNvSpPr/>
        </xdr:nvSpPr>
        <xdr:spPr>
          <a:xfrm>
            <a:off x="2699102" y="1532462"/>
            <a:ext cx="1514887" cy="279398"/>
          </a:xfrm>
          <a:prstGeom prst="roundRect">
            <a:avLst>
              <a:gd name="adj" fmla="val 2416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FF0000"/>
                </a:solidFill>
                <a:latin typeface="Calibri"/>
                <a:cs typeface="Calibri"/>
              </a:rPr>
              <a:t>₹ </a:t>
            </a:r>
            <a:fld id="{6082728A-8F35-4EB3-BFB7-52212ED8A362}" type="TxLink">
              <a:rPr lang="en-US" sz="1600" b="1" i="0" u="none" strike="noStrike">
                <a:solidFill>
                  <a:srgbClr val="FF0000"/>
                </a:solidFill>
                <a:latin typeface="Calibri"/>
                <a:cs typeface="Calibri"/>
              </a:rPr>
              <a:pPr algn="ctr"/>
              <a:t>1396.49</a:t>
            </a:fld>
            <a:endParaRPr lang="en-US" sz="1600" b="1">
              <a:solidFill>
                <a:srgbClr val="FF0000"/>
              </a:solidFill>
              <a:latin typeface="Arial Black" pitchFamily="34" charset="0"/>
              <a:cs typeface="Calibri Light" pitchFamily="34" charset="0"/>
            </a:endParaRPr>
          </a:p>
        </xdr:txBody>
      </xdr:sp>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2751667" y="1244596"/>
            <a:ext cx="1540933" cy="29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rgbClr val="FFC000"/>
                  </a:solidFill>
                </a:ln>
                <a:solidFill>
                  <a:srgbClr val="FF0000"/>
                </a:solidFill>
                <a:effectLst>
                  <a:innerShdw blurRad="63500" dist="50800" dir="10800000">
                    <a:prstClr val="black">
                      <a:alpha val="50000"/>
                    </a:prstClr>
                  </a:innerShdw>
                </a:effectLst>
                <a:latin typeface="Calibri Light" pitchFamily="34" charset="0"/>
                <a:cs typeface="Calibri Light" pitchFamily="34" charset="0"/>
              </a:rPr>
              <a:t>AVG COST/INCIDENT</a:t>
            </a:r>
          </a:p>
        </xdr:txBody>
      </xdr:sp>
    </xdr:grpSp>
    <xdr:clientData/>
  </xdr:twoCellAnchor>
  <xdr:twoCellAnchor>
    <xdr:from>
      <xdr:col>17</xdr:col>
      <xdr:colOff>67744</xdr:colOff>
      <xdr:row>5</xdr:row>
      <xdr:rowOff>0</xdr:rowOff>
    </xdr:from>
    <xdr:to>
      <xdr:col>21</xdr:col>
      <xdr:colOff>84687</xdr:colOff>
      <xdr:row>8</xdr:row>
      <xdr:rowOff>111063</xdr:rowOff>
    </xdr:to>
    <xdr:grpSp>
      <xdr:nvGrpSpPr>
        <xdr:cNvPr id="34" name="Group 33">
          <a:extLst>
            <a:ext uri="{FF2B5EF4-FFF2-40B4-BE49-F238E27FC236}">
              <a16:creationId xmlns:a16="http://schemas.microsoft.com/office/drawing/2014/main" id="{00000000-0008-0000-0300-000022000000}"/>
            </a:ext>
          </a:extLst>
        </xdr:cNvPr>
        <xdr:cNvGrpSpPr/>
      </xdr:nvGrpSpPr>
      <xdr:grpSpPr>
        <a:xfrm>
          <a:off x="10014565" y="1251857"/>
          <a:ext cx="2357372" cy="682563"/>
          <a:chOff x="2040465" y="1202265"/>
          <a:chExt cx="2387602" cy="728134"/>
        </a:xfrm>
      </xdr:grpSpPr>
      <xdr:sp macro="" textlink="">
        <xdr:nvSpPr>
          <xdr:cNvPr id="35" name="Rounded Rectangle 34">
            <a:extLst>
              <a:ext uri="{FF2B5EF4-FFF2-40B4-BE49-F238E27FC236}">
                <a16:creationId xmlns:a16="http://schemas.microsoft.com/office/drawing/2014/main" id="{00000000-0008-0000-0300-000023000000}"/>
              </a:ext>
            </a:extLst>
          </xdr:cNvPr>
          <xdr:cNvSpPr/>
        </xdr:nvSpPr>
        <xdr:spPr>
          <a:xfrm>
            <a:off x="2040465" y="1202265"/>
            <a:ext cx="2387602" cy="728134"/>
          </a:xfrm>
          <a:prstGeom prst="roundRect">
            <a:avLst/>
          </a:prstGeom>
          <a:solidFill>
            <a:schemeClr val="bg1"/>
          </a:solidFill>
          <a:ln w="3175">
            <a:solidFill>
              <a:schemeClr val="tx1">
                <a:alpha val="2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ounded Rectangle 35">
            <a:extLst>
              <a:ext uri="{FF2B5EF4-FFF2-40B4-BE49-F238E27FC236}">
                <a16:creationId xmlns:a16="http://schemas.microsoft.com/office/drawing/2014/main" id="{00000000-0008-0000-0300-000024000000}"/>
              </a:ext>
            </a:extLst>
          </xdr:cNvPr>
          <xdr:cNvSpPr/>
        </xdr:nvSpPr>
        <xdr:spPr>
          <a:xfrm>
            <a:off x="2114554" y="1295397"/>
            <a:ext cx="650415" cy="567269"/>
          </a:xfrm>
          <a:prstGeom prst="round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a:ln>
            <a:noFill/>
          </a:ln>
          <a:effectLst>
            <a:glow rad="635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afetyData!F522">
        <xdr:nvSpPr>
          <xdr:cNvPr id="37" name="Rounded Rectangle 36">
            <a:extLst>
              <a:ext uri="{FF2B5EF4-FFF2-40B4-BE49-F238E27FC236}">
                <a16:creationId xmlns:a16="http://schemas.microsoft.com/office/drawing/2014/main" id="{00000000-0008-0000-0300-000025000000}"/>
              </a:ext>
            </a:extLst>
          </xdr:cNvPr>
          <xdr:cNvSpPr/>
        </xdr:nvSpPr>
        <xdr:spPr>
          <a:xfrm>
            <a:off x="3061362" y="1507062"/>
            <a:ext cx="1020900" cy="279398"/>
          </a:xfrm>
          <a:prstGeom prst="roundRect">
            <a:avLst>
              <a:gd name="adj" fmla="val 2416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C59F474B-E974-47CE-8E18-1F1DA3E299F9}" type="TxLink">
              <a:rPr lang="en-US" sz="1400" b="1">
                <a:solidFill>
                  <a:srgbClr val="00B0F0"/>
                </a:solidFill>
                <a:latin typeface="Arial Black" pitchFamily="34" charset="0"/>
                <a:cs typeface="Calibri Light" pitchFamily="34" charset="0"/>
              </a:rPr>
              <a:pPr algn="l"/>
              <a:t>27.04%</a:t>
            </a:fld>
            <a:endParaRPr lang="en-US" sz="1400" b="1">
              <a:solidFill>
                <a:srgbClr val="00B0F0"/>
              </a:solidFill>
              <a:latin typeface="Arial Black" pitchFamily="34" charset="0"/>
              <a:cs typeface="Calibri Light" pitchFamily="34" charset="0"/>
            </a:endParaRPr>
          </a:p>
        </xdr:txBody>
      </xdr:sp>
      <xdr:sp macro="" textlink="">
        <xdr:nvSpPr>
          <xdr:cNvPr id="38" name="TextBox 37">
            <a:extLst>
              <a:ext uri="{FF2B5EF4-FFF2-40B4-BE49-F238E27FC236}">
                <a16:creationId xmlns:a16="http://schemas.microsoft.com/office/drawing/2014/main" id="{00000000-0008-0000-0300-000026000000}"/>
              </a:ext>
            </a:extLst>
          </xdr:cNvPr>
          <xdr:cNvSpPr txBox="1"/>
        </xdr:nvSpPr>
        <xdr:spPr>
          <a:xfrm>
            <a:off x="2982202" y="1244596"/>
            <a:ext cx="1108298" cy="29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rgbClr val="0070C0"/>
                  </a:solidFill>
                </a:ln>
                <a:solidFill>
                  <a:srgbClr val="0070C0"/>
                </a:solidFill>
                <a:effectLst>
                  <a:innerShdw blurRad="63500" dist="50800" dir="10800000">
                    <a:prstClr val="black">
                      <a:alpha val="50000"/>
                    </a:prstClr>
                  </a:innerShdw>
                </a:effectLst>
                <a:latin typeface="Calibri Light" pitchFamily="34" charset="0"/>
                <a:cs typeface="Calibri Light" pitchFamily="34" charset="0"/>
              </a:rPr>
              <a:t>NEAR MISS %</a:t>
            </a:r>
          </a:p>
        </xdr:txBody>
      </xdr:sp>
    </xdr:grpSp>
    <xdr:clientData/>
  </xdr:twoCellAnchor>
  <xdr:twoCellAnchor>
    <xdr:from>
      <xdr:col>21</xdr:col>
      <xdr:colOff>194744</xdr:colOff>
      <xdr:row>5</xdr:row>
      <xdr:rowOff>0</xdr:rowOff>
    </xdr:from>
    <xdr:to>
      <xdr:col>25</xdr:col>
      <xdr:colOff>211687</xdr:colOff>
      <xdr:row>8</xdr:row>
      <xdr:rowOff>98612</xdr:rowOff>
    </xdr:to>
    <xdr:grpSp>
      <xdr:nvGrpSpPr>
        <xdr:cNvPr id="39" name="Group 38">
          <a:extLst>
            <a:ext uri="{FF2B5EF4-FFF2-40B4-BE49-F238E27FC236}">
              <a16:creationId xmlns:a16="http://schemas.microsoft.com/office/drawing/2014/main" id="{00000000-0008-0000-0300-000027000000}"/>
            </a:ext>
          </a:extLst>
        </xdr:cNvPr>
        <xdr:cNvGrpSpPr/>
      </xdr:nvGrpSpPr>
      <xdr:grpSpPr>
        <a:xfrm>
          <a:off x="12481994" y="1251857"/>
          <a:ext cx="2357372" cy="670112"/>
          <a:chOff x="2040465" y="1202265"/>
          <a:chExt cx="2387602" cy="728134"/>
        </a:xfrm>
      </xdr:grpSpPr>
      <xdr:sp macro="" textlink="">
        <xdr:nvSpPr>
          <xdr:cNvPr id="40" name="Rounded Rectangle 39">
            <a:extLst>
              <a:ext uri="{FF2B5EF4-FFF2-40B4-BE49-F238E27FC236}">
                <a16:creationId xmlns:a16="http://schemas.microsoft.com/office/drawing/2014/main" id="{00000000-0008-0000-0300-000028000000}"/>
              </a:ext>
            </a:extLst>
          </xdr:cNvPr>
          <xdr:cNvSpPr/>
        </xdr:nvSpPr>
        <xdr:spPr>
          <a:xfrm>
            <a:off x="2040465" y="1202265"/>
            <a:ext cx="2387602" cy="728134"/>
          </a:xfrm>
          <a:prstGeom prst="roundRect">
            <a:avLst/>
          </a:prstGeom>
          <a:solidFill>
            <a:schemeClr val="bg1"/>
          </a:solidFill>
          <a:ln w="3175">
            <a:solidFill>
              <a:schemeClr val="tx1">
                <a:alpha val="2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ounded Rectangle 40">
            <a:extLst>
              <a:ext uri="{FF2B5EF4-FFF2-40B4-BE49-F238E27FC236}">
                <a16:creationId xmlns:a16="http://schemas.microsoft.com/office/drawing/2014/main" id="{00000000-0008-0000-0300-000029000000}"/>
              </a:ext>
            </a:extLst>
          </xdr:cNvPr>
          <xdr:cNvSpPr/>
        </xdr:nvSpPr>
        <xdr:spPr>
          <a:xfrm>
            <a:off x="2114554" y="1261531"/>
            <a:ext cx="650415" cy="626534"/>
          </a:xfrm>
          <a:prstGeom prst="roundRect">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a:ln>
            <a:no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8000">
                <a:solidFill>
                  <a:schemeClr val="accent2">
                    <a:satMod val="140000"/>
                  </a:schemeClr>
                </a:solidFill>
                <a:prstDash val="solid"/>
                <a:miter lim="800000"/>
              </a:ln>
              <a:noFill/>
              <a:effectLst>
                <a:outerShdw blurRad="25500" dist="23000" dir="7020000" algn="tl">
                  <a:srgbClr val="000000">
                    <a:alpha val="50000"/>
                  </a:srgbClr>
                </a:outerShdw>
              </a:effectLst>
            </a:endParaRPr>
          </a:p>
        </xdr:txBody>
      </xdr:sp>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2809301" y="1244596"/>
            <a:ext cx="1437612" cy="29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rgbClr val="FF0000"/>
                  </a:solidFill>
                </a:ln>
                <a:solidFill>
                  <a:srgbClr val="FFC000"/>
                </a:solidFill>
                <a:effectLst>
                  <a:innerShdw blurRad="63500" dist="50800" dir="10800000">
                    <a:prstClr val="black">
                      <a:alpha val="50000"/>
                    </a:prstClr>
                  </a:innerShdw>
                </a:effectLst>
                <a:latin typeface="Calibri Light" pitchFamily="34" charset="0"/>
                <a:cs typeface="Calibri Light" pitchFamily="34" charset="0"/>
              </a:rPr>
              <a:t>HIGHEST RISK PLANT</a:t>
            </a:r>
          </a:p>
        </xdr:txBody>
      </xdr:sp>
    </xdr:grpSp>
    <xdr:clientData/>
  </xdr:twoCellAnchor>
  <xdr:twoCellAnchor>
    <xdr:from>
      <xdr:col>23</xdr:col>
      <xdr:colOff>67758</xdr:colOff>
      <xdr:row>6</xdr:row>
      <xdr:rowOff>116542</xdr:rowOff>
    </xdr:from>
    <xdr:to>
      <xdr:col>24</xdr:col>
      <xdr:colOff>237081</xdr:colOff>
      <xdr:row>7</xdr:row>
      <xdr:rowOff>170831</xdr:rowOff>
    </xdr:to>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4088558" y="1255060"/>
          <a:ext cx="778923" cy="233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ln>
                <a:solidFill>
                  <a:srgbClr val="FF0000"/>
                </a:solidFill>
              </a:ln>
              <a:solidFill>
                <a:srgbClr val="FFC000"/>
              </a:solidFill>
              <a:effectLst>
                <a:innerShdw blurRad="63500" dist="50800" dir="10800000">
                  <a:prstClr val="black">
                    <a:alpha val="50000"/>
                  </a:prstClr>
                </a:innerShdw>
              </a:effectLst>
              <a:latin typeface="Calibri Light" pitchFamily="34" charset="0"/>
              <a:cs typeface="Calibri Light" pitchFamily="34" charset="0"/>
            </a:rPr>
            <a:t>Kolkata</a:t>
          </a:r>
        </a:p>
      </xdr:txBody>
    </xdr:sp>
    <xdr:clientData/>
  </xdr:twoCellAnchor>
  <xdr:twoCellAnchor editAs="oneCell">
    <xdr:from>
      <xdr:col>1</xdr:col>
      <xdr:colOff>446189</xdr:colOff>
      <xdr:row>9</xdr:row>
      <xdr:rowOff>85689</xdr:rowOff>
    </xdr:from>
    <xdr:to>
      <xdr:col>4</xdr:col>
      <xdr:colOff>31852</xdr:colOff>
      <xdr:row>16</xdr:row>
      <xdr:rowOff>49609</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00000000-0008-0000-0300-00002D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1296" y="1827403"/>
              <a:ext cx="1340985" cy="1297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435237</xdr:colOff>
      <xdr:row>16</xdr:row>
      <xdr:rowOff>126942</xdr:rowOff>
    </xdr:from>
    <xdr:to>
      <xdr:col>4</xdr:col>
      <xdr:colOff>20900</xdr:colOff>
      <xdr:row>23</xdr:row>
      <xdr:rowOff>89296</xdr:rowOff>
    </xdr:to>
    <mc:AlternateContent xmlns:mc="http://schemas.openxmlformats.org/markup-compatibility/2006" xmlns:a14="http://schemas.microsoft.com/office/drawing/2010/main">
      <mc:Choice Requires="a14">
        <xdr:graphicFrame macro="">
          <xdr:nvGraphicFramePr>
            <xdr:cNvPr id="46" name="Shift 1">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1020344" y="3202156"/>
              <a:ext cx="1340985" cy="1295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450515</xdr:colOff>
      <xdr:row>22</xdr:row>
      <xdr:rowOff>17944</xdr:rowOff>
    </xdr:from>
    <xdr:to>
      <xdr:col>28</xdr:col>
      <xdr:colOff>39362</xdr:colOff>
      <xdr:row>42</xdr:row>
      <xdr:rowOff>78442</xdr:rowOff>
    </xdr:to>
    <mc:AlternateContent xmlns:mc="http://schemas.openxmlformats.org/markup-compatibility/2006" xmlns:a14="http://schemas.microsoft.com/office/drawing/2010/main">
      <mc:Choice Requires="a14">
        <xdr:graphicFrame macro="">
          <xdr:nvGraphicFramePr>
            <xdr:cNvPr id="47" name="Injury Location 1">
              <a:extLst>
                <a:ext uri="{FF2B5EF4-FFF2-40B4-BE49-F238E27FC236}">
                  <a16:creationId xmlns:a16="http://schemas.microsoft.com/office/drawing/2014/main" id="{00000000-0008-0000-0300-00002F000000}"/>
                </a:ext>
              </a:extLst>
            </xdr:cNvPr>
            <xdr:cNvGraphicFramePr/>
          </xdr:nvGraphicFramePr>
          <xdr:xfrm>
            <a:off x="0" y="0"/>
            <a:ext cx="0" cy="0"/>
          </xdr:xfrm>
          <a:graphic>
            <a:graphicData uri="http://schemas.microsoft.com/office/drawing/2010/slicer">
              <sle:slicer xmlns:sle="http://schemas.microsoft.com/office/drawing/2010/slicer" name="Injury Location 1"/>
            </a:graphicData>
          </a:graphic>
        </xdr:graphicFrame>
      </mc:Choice>
      <mc:Fallback xmlns="">
        <xdr:sp macro="" textlink="">
          <xdr:nvSpPr>
            <xdr:cNvPr id="0" name=""/>
            <xdr:cNvSpPr>
              <a:spLocks noTextEdit="1"/>
            </xdr:cNvSpPr>
          </xdr:nvSpPr>
          <xdr:spPr>
            <a:xfrm>
              <a:off x="15078194" y="4236158"/>
              <a:ext cx="1344168" cy="3870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419859</xdr:colOff>
      <xdr:row>29</xdr:row>
      <xdr:rowOff>130629</xdr:rowOff>
    </xdr:from>
    <xdr:to>
      <xdr:col>4</xdr:col>
      <xdr:colOff>8705</xdr:colOff>
      <xdr:row>46</xdr:row>
      <xdr:rowOff>81642</xdr:rowOff>
    </xdr:to>
    <mc:AlternateContent xmlns:mc="http://schemas.openxmlformats.org/markup-compatibility/2006" xmlns:a14="http://schemas.microsoft.com/office/drawing/2010/main">
      <mc:Choice Requires="a14">
        <xdr:graphicFrame macro="">
          <xdr:nvGraphicFramePr>
            <xdr:cNvPr id="48" name="Department 1">
              <a:extLst>
                <a:ext uri="{FF2B5EF4-FFF2-40B4-BE49-F238E27FC236}">
                  <a16:creationId xmlns:a16="http://schemas.microsoft.com/office/drawing/2014/main" id="{00000000-0008-0000-0300-000030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4966" y="5682344"/>
              <a:ext cx="1344168" cy="3167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450479</xdr:colOff>
      <xdr:row>6</xdr:row>
      <xdr:rowOff>39283</xdr:rowOff>
    </xdr:from>
    <xdr:to>
      <xdr:col>28</xdr:col>
      <xdr:colOff>17663</xdr:colOff>
      <xdr:row>21</xdr:row>
      <xdr:rowOff>145676</xdr:rowOff>
    </xdr:to>
    <mc:AlternateContent xmlns:mc="http://schemas.openxmlformats.org/markup-compatibility/2006" xmlns:a14="http://schemas.microsoft.com/office/drawing/2010/main">
      <mc:Choice Requires="a14">
        <xdr:graphicFrame macro="">
          <xdr:nvGraphicFramePr>
            <xdr:cNvPr id="49" name="Incident Type 1">
              <a:extLst>
                <a:ext uri="{FF2B5EF4-FFF2-40B4-BE49-F238E27FC236}">
                  <a16:creationId xmlns:a16="http://schemas.microsoft.com/office/drawing/2014/main" id="{00000000-0008-0000-0300-000031000000}"/>
                </a:ext>
              </a:extLst>
            </xdr:cNvPr>
            <xdr:cNvGraphicFramePr/>
          </xdr:nvGraphicFramePr>
          <xdr:xfrm>
            <a:off x="0" y="0"/>
            <a:ext cx="0" cy="0"/>
          </xdr:xfrm>
          <a:graphic>
            <a:graphicData uri="http://schemas.microsoft.com/office/drawing/2010/slicer">
              <sle:slicer xmlns:sle="http://schemas.microsoft.com/office/drawing/2010/slicer" name="Incident Type 1"/>
            </a:graphicData>
          </a:graphic>
        </xdr:graphicFrame>
      </mc:Choice>
      <mc:Fallback xmlns="">
        <xdr:sp macro="" textlink="">
          <xdr:nvSpPr>
            <xdr:cNvPr id="0" name=""/>
            <xdr:cNvSpPr>
              <a:spLocks noTextEdit="1"/>
            </xdr:cNvSpPr>
          </xdr:nvSpPr>
          <xdr:spPr>
            <a:xfrm>
              <a:off x="15078158" y="1209497"/>
              <a:ext cx="1322505" cy="2963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198744</xdr:colOff>
      <xdr:row>39</xdr:row>
      <xdr:rowOff>4258</xdr:rowOff>
    </xdr:from>
    <xdr:to>
      <xdr:col>6</xdr:col>
      <xdr:colOff>394959</xdr:colOff>
      <xdr:row>46</xdr:row>
      <xdr:rowOff>122463</xdr:rowOff>
    </xdr:to>
    <mc:AlternateContent xmlns:mc="http://schemas.openxmlformats.org/markup-compatibility/2006" xmlns:a14="http://schemas.microsoft.com/office/drawing/2010/main">
      <mc:Choice Requires="a14">
        <xdr:graphicFrame macro="">
          <xdr:nvGraphicFramePr>
            <xdr:cNvPr id="50" name="Report Type 1">
              <a:extLst>
                <a:ext uri="{FF2B5EF4-FFF2-40B4-BE49-F238E27FC236}">
                  <a16:creationId xmlns:a16="http://schemas.microsoft.com/office/drawing/2014/main" id="{00000000-0008-0000-0300-000032000000}"/>
                </a:ext>
              </a:extLst>
            </xdr:cNvPr>
            <xdr:cNvGraphicFramePr/>
          </xdr:nvGraphicFramePr>
          <xdr:xfrm>
            <a:off x="0" y="0"/>
            <a:ext cx="0" cy="0"/>
          </xdr:xfrm>
          <a:graphic>
            <a:graphicData uri="http://schemas.microsoft.com/office/drawing/2010/slicer">
              <sle:slicer xmlns:sle="http://schemas.microsoft.com/office/drawing/2010/slicer" name="Report Type 1"/>
            </a:graphicData>
          </a:graphic>
        </xdr:graphicFrame>
      </mc:Choice>
      <mc:Fallback xmlns="">
        <xdr:sp macro="" textlink="">
          <xdr:nvSpPr>
            <xdr:cNvPr id="0" name=""/>
            <xdr:cNvSpPr>
              <a:spLocks noTextEdit="1"/>
            </xdr:cNvSpPr>
          </xdr:nvSpPr>
          <xdr:spPr>
            <a:xfrm>
              <a:off x="2539173" y="7733115"/>
              <a:ext cx="1366429" cy="1451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418159</xdr:colOff>
      <xdr:row>23</xdr:row>
      <xdr:rowOff>183702</xdr:rowOff>
    </xdr:from>
    <xdr:to>
      <xdr:col>4</xdr:col>
      <xdr:colOff>7005</xdr:colOff>
      <xdr:row>29</xdr:row>
      <xdr:rowOff>46542</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00000000-0008-0000-0300-00003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03266" y="4592416"/>
              <a:ext cx="1344168"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508001</xdr:colOff>
      <xdr:row>0</xdr:row>
      <xdr:rowOff>163288</xdr:rowOff>
    </xdr:from>
    <xdr:to>
      <xdr:col>3</xdr:col>
      <xdr:colOff>516467</xdr:colOff>
      <xdr:row>5</xdr:row>
      <xdr:rowOff>81644</xdr:rowOff>
    </xdr:to>
    <xdr:sp macro="" textlink="">
      <xdr:nvSpPr>
        <xdr:cNvPr id="53" name="Rounded Rectangle 52">
          <a:extLst>
            <a:ext uri="{FF2B5EF4-FFF2-40B4-BE49-F238E27FC236}">
              <a16:creationId xmlns:a16="http://schemas.microsoft.com/office/drawing/2014/main" id="{00000000-0008-0000-0300-000035000000}"/>
            </a:ext>
          </a:extLst>
        </xdr:cNvPr>
        <xdr:cNvSpPr/>
      </xdr:nvSpPr>
      <xdr:spPr>
        <a:xfrm>
          <a:off x="1093108" y="163288"/>
          <a:ext cx="1178680" cy="1170213"/>
        </a:xfrm>
        <a:prstGeom prst="roundRect">
          <a:avLst/>
        </a:prstGeom>
        <a:blipFill dpi="0" rotWithShape="1">
          <a:blip xmlns:r="http://schemas.openxmlformats.org/officeDocument/2006/relationships" r:embed="rId15">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448235</xdr:colOff>
      <xdr:row>6</xdr:row>
      <xdr:rowOff>98612</xdr:rowOff>
    </xdr:from>
    <xdr:to>
      <xdr:col>3</xdr:col>
      <xdr:colOff>600635</xdr:colOff>
      <xdr:row>8</xdr:row>
      <xdr:rowOff>170330</xdr:rowOff>
    </xdr:to>
    <xdr:sp macro="" textlink="">
      <xdr:nvSpPr>
        <xdr:cNvPr id="56" name="Rounded Rectangle 55">
          <a:extLst>
            <a:ext uri="{FF2B5EF4-FFF2-40B4-BE49-F238E27FC236}">
              <a16:creationId xmlns:a16="http://schemas.microsoft.com/office/drawing/2014/main" id="{00000000-0008-0000-0300-000038000000}"/>
            </a:ext>
          </a:extLst>
        </xdr:cNvPr>
        <xdr:cNvSpPr/>
      </xdr:nvSpPr>
      <xdr:spPr>
        <a:xfrm>
          <a:off x="1057835" y="1237130"/>
          <a:ext cx="1371600" cy="430306"/>
        </a:xfrm>
        <a:prstGeom prst="roundRect">
          <a:avLst>
            <a:gd name="adj" fmla="val 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475127</xdr:colOff>
      <xdr:row>6</xdr:row>
      <xdr:rowOff>134469</xdr:rowOff>
    </xdr:from>
    <xdr:to>
      <xdr:col>3</xdr:col>
      <xdr:colOff>546844</xdr:colOff>
      <xdr:row>8</xdr:row>
      <xdr:rowOff>125505</xdr:rowOff>
    </xdr:to>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1084727" y="1272987"/>
          <a:ext cx="1290917" cy="34962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18415" cmpd="sng">
                <a:solidFill>
                  <a:srgbClr val="FFFFFF"/>
                </a:solidFill>
                <a:prstDash val="solid"/>
              </a:ln>
              <a:solidFill>
                <a:srgbClr val="FFFFFF"/>
              </a:solidFill>
              <a:effectLst>
                <a:outerShdw blurRad="63500" dir="3600000" algn="tl" rotWithShape="0">
                  <a:srgbClr val="000000">
                    <a:alpha val="70000"/>
                  </a:srgbClr>
                </a:outerShdw>
              </a:effectLst>
            </a:rPr>
            <a:t>FILTERS</a:t>
          </a:r>
        </a:p>
      </xdr:txBody>
    </xdr:sp>
    <xdr:clientData/>
  </xdr:twoCellAnchor>
  <xdr:twoCellAnchor>
    <xdr:from>
      <xdr:col>6</xdr:col>
      <xdr:colOff>462270</xdr:colOff>
      <xdr:row>39</xdr:row>
      <xdr:rowOff>5706</xdr:rowOff>
    </xdr:from>
    <xdr:to>
      <xdr:col>9</xdr:col>
      <xdr:colOff>359493</xdr:colOff>
      <xdr:row>46</xdr:row>
      <xdr:rowOff>136072</xdr:rowOff>
    </xdr:to>
    <xdr:sp macro="" textlink="">
      <xdr:nvSpPr>
        <xdr:cNvPr id="58" name="TextBox 57">
          <a:extLst>
            <a:ext uri="{FF2B5EF4-FFF2-40B4-BE49-F238E27FC236}">
              <a16:creationId xmlns:a16="http://schemas.microsoft.com/office/drawing/2014/main" id="{00000000-0008-0000-0300-00003A000000}"/>
            </a:ext>
          </a:extLst>
        </xdr:cNvPr>
        <xdr:cNvSpPr txBox="1"/>
      </xdr:nvSpPr>
      <xdr:spPr>
        <a:xfrm>
          <a:off x="3972913" y="7734563"/>
          <a:ext cx="1652544" cy="1463866"/>
        </a:xfrm>
        <a:prstGeom prst="roundRect">
          <a:avLst/>
        </a:prstGeom>
        <a:solidFill>
          <a:schemeClr val="accent4">
            <a:lumMod val="20000"/>
            <a:lumOff val="80000"/>
          </a:schemeClr>
        </a:solidFill>
        <a:ln w="1905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cap="none" spc="0">
              <a:ln w="18415" cmpd="sng">
                <a:noFill/>
                <a:prstDash val="solid"/>
              </a:ln>
              <a:solidFill>
                <a:sysClr val="windowText" lastClr="000000"/>
              </a:solidFill>
              <a:effectLst>
                <a:outerShdw blurRad="63500" dir="3600000" algn="tl" rotWithShape="0">
                  <a:srgbClr val="000000">
                    <a:alpha val="70000"/>
                  </a:srgbClr>
                </a:outerShdw>
              </a:effectLst>
              <a:latin typeface="+mn-lt"/>
              <a:ea typeface="+mn-ea"/>
              <a:cs typeface="+mn-cs"/>
            </a:rPr>
            <a:t>Data</a:t>
          </a:r>
          <a:r>
            <a:rPr lang="en-US" sz="1100" b="1" cap="none" spc="0">
              <a:ln w="18415" cmpd="sng">
                <a:noFill/>
                <a:prstDash val="solid"/>
              </a:ln>
              <a:solidFill>
                <a:sysClr val="windowText" lastClr="000000"/>
              </a:solidFill>
              <a:effectLst>
                <a:outerShdw blurRad="63500" dir="3600000" algn="tl" rotWithShape="0">
                  <a:srgbClr val="000000">
                    <a:alpha val="70000"/>
                  </a:srgbClr>
                </a:outerShdw>
              </a:effectLst>
              <a:latin typeface="+mn-lt"/>
              <a:ea typeface="+mn-ea"/>
              <a:cs typeface="+mn-cs"/>
            </a:rPr>
            <a:t> </a:t>
          </a:r>
          <a:r>
            <a:rPr lang="en-US" sz="1600" b="1">
              <a:ln>
                <a:noFill/>
              </a:ln>
              <a:solidFill>
                <a:sysClr val="windowText" lastClr="000000"/>
              </a:solidFill>
              <a:latin typeface="+mn-lt"/>
              <a:ea typeface="+mn-ea"/>
              <a:cs typeface="+mn-cs"/>
            </a:rPr>
            <a:t>Overview</a:t>
          </a:r>
          <a:r>
            <a:rPr lang="en-US" sz="1100" b="1" cap="none" spc="0">
              <a:ln w="18415" cmpd="sng">
                <a:noFill/>
                <a:prstDash val="solid"/>
              </a:ln>
              <a:solidFill>
                <a:sysClr val="windowText" lastClr="000000"/>
              </a:solidFill>
              <a:effectLst>
                <a:outerShdw blurRad="63500" dir="3600000" algn="tl" rotWithShape="0">
                  <a:srgbClr val="000000">
                    <a:alpha val="70000"/>
                  </a:srgbClr>
                </a:outerShdw>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a:solidFill>
              <a:srgbClr val="7030A0"/>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7030A0"/>
              </a:solidFill>
              <a:latin typeface="+mn-lt"/>
              <a:ea typeface="+mn-ea"/>
              <a:cs typeface="+mn-cs"/>
            </a:rPr>
            <a:t>Plant	9</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7030A0"/>
              </a:solidFill>
              <a:latin typeface="+mn-lt"/>
              <a:ea typeface="+mn-ea"/>
              <a:cs typeface="+mn-cs"/>
            </a:rPr>
            <a:t>Department	9</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7030A0"/>
              </a:solidFill>
              <a:latin typeface="+mn-lt"/>
              <a:ea typeface="+mn-ea"/>
              <a:cs typeface="+mn-cs"/>
            </a:rPr>
            <a:t>Incident Types	9</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7030A0"/>
              </a:solidFill>
              <a:latin typeface="+mn-lt"/>
              <a:ea typeface="+mn-ea"/>
              <a:cs typeface="+mn-cs"/>
            </a:rPr>
            <a:t>Year (2022-25)	4</a:t>
          </a:r>
        </a:p>
      </xdr:txBody>
    </xdr:sp>
    <xdr:clientData/>
  </xdr:twoCellAnchor>
  <xdr:oneCellAnchor>
    <xdr:from>
      <xdr:col>9</xdr:col>
      <xdr:colOff>410617</xdr:colOff>
      <xdr:row>27</xdr:row>
      <xdr:rowOff>149679</xdr:rowOff>
    </xdr:from>
    <xdr:ext cx="9182419" cy="1932214"/>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5676581" y="5592536"/>
          <a:ext cx="9182419" cy="1932214"/>
        </a:xfrm>
        <a:prstGeom prst="roundRect">
          <a:avLst>
            <a:gd name="adj" fmla="val 5023"/>
          </a:avLst>
        </a:prstGeom>
        <a:solidFill>
          <a:sysClr val="window" lastClr="FFFFFF"/>
        </a:solidFill>
        <a:ln w="3175">
          <a:solidFill>
            <a:schemeClr val="bg1">
              <a:lumMod val="8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l"/>
          <a:r>
            <a:rPr lang="en-US" sz="2000" b="1">
              <a:solidFill>
                <a:sysClr val="windowText" lastClr="000000"/>
              </a:solidFill>
            </a:rPr>
            <a:t>KEY INSIGHTS</a:t>
          </a:r>
          <a:endParaRPr lang="en-US" sz="1600" b="1" baseline="0">
            <a:solidFill>
              <a:sysClr val="windowText" lastClr="000000"/>
            </a:solidFill>
            <a:latin typeface="+mn-lt"/>
            <a:ea typeface="+mn-ea"/>
            <a:cs typeface="+mn-cs"/>
          </a:endParaRPr>
        </a:p>
        <a:p>
          <a:pPr marL="0" indent="0"/>
          <a:r>
            <a:rPr lang="en-US" sz="1200" b="1" baseline="0">
              <a:solidFill>
                <a:schemeClr val="accent4">
                  <a:lumMod val="50000"/>
                </a:schemeClr>
              </a:solidFill>
              <a:latin typeface="+mn-lt"/>
              <a:ea typeface="+mn-ea"/>
              <a:cs typeface="+mn-cs"/>
            </a:rPr>
            <a:t>1. Kolkata Plant recorded the highest number of incidents (64), indicating increased operational safety risk</a:t>
          </a:r>
        </a:p>
        <a:p>
          <a:pPr marL="0" indent="0"/>
          <a:r>
            <a:rPr lang="en-US" sz="1200" b="1" baseline="0">
              <a:solidFill>
                <a:schemeClr val="accent4">
                  <a:lumMod val="50000"/>
                </a:schemeClr>
              </a:solidFill>
              <a:latin typeface="+mn-lt"/>
              <a:ea typeface="+mn-ea"/>
              <a:cs typeface="+mn-cs"/>
            </a:rPr>
            <a:t>compared to other plants.</a:t>
          </a:r>
        </a:p>
        <a:p>
          <a:pPr marL="0" indent="0"/>
          <a:r>
            <a:rPr lang="en-US" sz="1200" b="1" baseline="0">
              <a:solidFill>
                <a:schemeClr val="accent4">
                  <a:lumMod val="50000"/>
                </a:schemeClr>
              </a:solidFill>
              <a:latin typeface="+mn-lt"/>
              <a:ea typeface="+mn-ea"/>
              <a:cs typeface="+mn-cs"/>
            </a:rPr>
            <a:t>2. Burn, Slip/Trip, and Fall incidents were the leading contributors to overall workplace injuries across all plants.</a:t>
          </a:r>
        </a:p>
        <a:p>
          <a:pPr marL="0" indent="0"/>
          <a:r>
            <a:rPr lang="en-US" sz="1200" b="1" baseline="0">
              <a:solidFill>
                <a:schemeClr val="accent4">
                  <a:lumMod val="50000"/>
                </a:schemeClr>
              </a:solidFill>
              <a:latin typeface="+mn-lt"/>
              <a:ea typeface="+mn-ea"/>
              <a:cs typeface="+mn-cs"/>
            </a:rPr>
            <a:t>3. Day Shift reported the highest incident count (178),  suggesting greater exposure during peak operational hours.</a:t>
          </a:r>
        </a:p>
        <a:p>
          <a:pPr marL="0" indent="0"/>
          <a:r>
            <a:rPr lang="en-US" sz="1200" b="1" baseline="0">
              <a:solidFill>
                <a:schemeClr val="accent4">
                  <a:lumMod val="50000"/>
                </a:schemeClr>
              </a:solidFill>
              <a:latin typeface="+mn-lt"/>
              <a:ea typeface="+mn-ea"/>
              <a:cs typeface="+mn-cs"/>
            </a:rPr>
            <a:t>4. Employees aged 36-55 accounted for the highest injury cases,  highlighting the need for focused safety and </a:t>
          </a:r>
        </a:p>
        <a:p>
          <a:pPr marL="0" indent="0"/>
          <a:r>
            <a:rPr lang="en-US" sz="1200" b="1" baseline="0">
              <a:solidFill>
                <a:schemeClr val="accent4">
                  <a:lumMod val="50000"/>
                </a:schemeClr>
              </a:solidFill>
              <a:latin typeface="+mn-lt"/>
              <a:ea typeface="+mn-ea"/>
              <a:cs typeface="+mn-cs"/>
            </a:rPr>
            <a:t>ergonomic measures.</a:t>
          </a:r>
        </a:p>
        <a:p>
          <a:pPr marL="0" indent="0"/>
          <a:r>
            <a:rPr lang="en-US" sz="1200" b="1" baseline="0">
              <a:solidFill>
                <a:schemeClr val="accent4">
                  <a:lumMod val="50000"/>
                </a:schemeClr>
              </a:solidFill>
              <a:latin typeface="+mn-lt"/>
              <a:ea typeface="+mn-ea"/>
              <a:cs typeface="+mn-cs"/>
            </a:rPr>
            <a:t>5. Shipping Department experienced the highest risk exposure,  contributing significantly to total incident </a:t>
          </a:r>
        </a:p>
        <a:p>
          <a:pPr marL="0" indent="0"/>
          <a:r>
            <a:rPr lang="en-US" sz="1200" b="1" baseline="0">
              <a:solidFill>
                <a:schemeClr val="accent4">
                  <a:lumMod val="50000"/>
                </a:schemeClr>
              </a:solidFill>
              <a:latin typeface="+mn-lt"/>
              <a:ea typeface="+mn-ea"/>
              <a:cs typeface="+mn-cs"/>
            </a:rPr>
            <a:t>frequency and lost days.</a:t>
          </a:r>
        </a:p>
        <a:p>
          <a:endParaRPr lang="en-US" sz="1200">
            <a:solidFill>
              <a:schemeClr val="bg1"/>
            </a:solidFill>
          </a:endParaRPr>
        </a:p>
      </xdr:txBody>
    </xdr:sp>
    <xdr:clientData/>
  </xdr:oneCellAnchor>
  <xdr:twoCellAnchor editAs="oneCell">
    <xdr:from>
      <xdr:col>25</xdr:col>
      <xdr:colOff>453839</xdr:colOff>
      <xdr:row>42</xdr:row>
      <xdr:rowOff>148076</xdr:rowOff>
    </xdr:from>
    <xdr:to>
      <xdr:col>27</xdr:col>
      <xdr:colOff>561415</xdr:colOff>
      <xdr:row>46</xdr:row>
      <xdr:rowOff>117596</xdr:rowOff>
    </xdr:to>
    <mc:AlternateContent xmlns:mc="http://schemas.openxmlformats.org/markup-compatibility/2006" xmlns:a14="http://schemas.microsoft.com/office/drawing/2010/main">
      <mc:Choice Requires="a14">
        <xdr:graphicFrame macro="">
          <xdr:nvGraphicFramePr>
            <xdr:cNvPr id="6" name="Plant 1">
              <a:extLst>
                <a:ext uri="{FF2B5EF4-FFF2-40B4-BE49-F238E27FC236}">
                  <a16:creationId xmlns:a16="http://schemas.microsoft.com/office/drawing/2014/main" id="{349D51CE-7D75-4B1E-A558-9974345E13AF}"/>
                </a:ext>
              </a:extLst>
            </xdr:cNvPr>
            <xdr:cNvGraphicFramePr/>
          </xdr:nvGraphicFramePr>
          <xdr:xfrm>
            <a:off x="0" y="0"/>
            <a:ext cx="0" cy="0"/>
          </xdr:xfrm>
          <a:graphic>
            <a:graphicData uri="http://schemas.microsoft.com/office/drawing/2010/slicer">
              <sle:slicer xmlns:sle="http://schemas.microsoft.com/office/drawing/2010/slicer" name="Plant 1"/>
            </a:graphicData>
          </a:graphic>
        </xdr:graphicFrame>
      </mc:Choice>
      <mc:Fallback xmlns="">
        <xdr:sp macro="" textlink="">
          <xdr:nvSpPr>
            <xdr:cNvPr id="0" name=""/>
            <xdr:cNvSpPr>
              <a:spLocks noTextEdit="1"/>
            </xdr:cNvSpPr>
          </xdr:nvSpPr>
          <xdr:spPr>
            <a:xfrm>
              <a:off x="15081518" y="8176290"/>
              <a:ext cx="127779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435429</xdr:colOff>
      <xdr:row>39</xdr:row>
      <xdr:rowOff>4346</xdr:rowOff>
    </xdr:from>
    <xdr:ext cx="9198428" cy="594368"/>
    <xdr:sp macro="" textlink="">
      <xdr:nvSpPr>
        <xdr:cNvPr id="7" name="TextBox 6">
          <a:extLst>
            <a:ext uri="{FF2B5EF4-FFF2-40B4-BE49-F238E27FC236}">
              <a16:creationId xmlns:a16="http://schemas.microsoft.com/office/drawing/2014/main" id="{6EC3D4CF-9D7D-4C6C-8EE2-C147E689BEE2}"/>
            </a:ext>
          </a:extLst>
        </xdr:cNvPr>
        <xdr:cNvSpPr txBox="1"/>
      </xdr:nvSpPr>
      <xdr:spPr>
        <a:xfrm>
          <a:off x="5701393" y="7733203"/>
          <a:ext cx="9198428" cy="594368"/>
        </a:xfrm>
        <a:prstGeom prst="roundRect">
          <a:avLst/>
        </a:prstGeom>
        <a:solidFill>
          <a:schemeClr val="accent4">
            <a:lumMod val="20000"/>
            <a:lumOff val="80000"/>
          </a:schemeClr>
        </a:solidFill>
        <a:ln w="3175">
          <a:solidFill>
            <a:schemeClr val="accent4">
              <a:lumMod val="7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latin typeface="+mn-lt"/>
              <a:ea typeface="+mn-ea"/>
              <a:cs typeface="+mn-cs"/>
            </a:rPr>
            <a:t>RISK ALERT:   </a:t>
          </a:r>
          <a:r>
            <a:rPr lang="en-US" sz="1200" b="1">
              <a:solidFill>
                <a:srgbClr val="7030A0"/>
              </a:solidFill>
              <a:latin typeface="+mn-lt"/>
              <a:ea typeface="+mn-ea"/>
              <a:cs typeface="+mn-cs"/>
            </a:rPr>
            <a:t>1. High Days lost in Hydrabad Plant.</a:t>
          </a:r>
          <a:r>
            <a:rPr lang="en-US" sz="1200" b="1" baseline="0">
              <a:solidFill>
                <a:srgbClr val="7030A0"/>
              </a:solidFill>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rgbClr val="7030A0"/>
              </a:solidFill>
              <a:latin typeface="+mn-lt"/>
              <a:ea typeface="+mn-ea"/>
              <a:cs typeface="+mn-cs"/>
            </a:rPr>
            <a:t>	       </a:t>
          </a:r>
          <a:r>
            <a:rPr lang="en-US" sz="1200" b="1">
              <a:solidFill>
                <a:srgbClr val="7030A0"/>
              </a:solidFill>
              <a:latin typeface="+mn-lt"/>
              <a:ea typeface="+mn-ea"/>
              <a:cs typeface="+mn-cs"/>
            </a:rPr>
            <a:t>2. More Incidents Risk is in Shipping Department</a:t>
          </a:r>
        </a:p>
        <a:p>
          <a:pPr marL="0" indent="0" algn="ctr"/>
          <a:endParaRPr lang="en-US" sz="2000" b="1">
            <a:solidFill>
              <a:sysClr val="windowText" lastClr="000000"/>
            </a:solidFill>
            <a:latin typeface="+mn-lt"/>
            <a:ea typeface="+mn-ea"/>
            <a:cs typeface="+mn-cs"/>
          </a:endParaRPr>
        </a:p>
      </xdr:txBody>
    </xdr:sp>
    <xdr:clientData/>
  </xdr:oneCellAnchor>
  <xdr:oneCellAnchor>
    <xdr:from>
      <xdr:col>9</xdr:col>
      <xdr:colOff>435430</xdr:colOff>
      <xdr:row>42</xdr:row>
      <xdr:rowOff>95249</xdr:rowOff>
    </xdr:from>
    <xdr:ext cx="9214756" cy="816429"/>
    <xdr:sp macro="" textlink="">
      <xdr:nvSpPr>
        <xdr:cNvPr id="18" name="TextBox 17">
          <a:extLst>
            <a:ext uri="{FF2B5EF4-FFF2-40B4-BE49-F238E27FC236}">
              <a16:creationId xmlns:a16="http://schemas.microsoft.com/office/drawing/2014/main" id="{A35EF8EE-3EAF-4857-B788-AFC1329E5C9A}"/>
            </a:ext>
          </a:extLst>
        </xdr:cNvPr>
        <xdr:cNvSpPr txBox="1"/>
      </xdr:nvSpPr>
      <xdr:spPr>
        <a:xfrm>
          <a:off x="5701394" y="8395606"/>
          <a:ext cx="9214756" cy="816429"/>
        </a:xfrm>
        <a:prstGeom prst="roundRect">
          <a:avLst/>
        </a:prstGeom>
        <a:solidFill>
          <a:schemeClr val="accent4">
            <a:lumMod val="20000"/>
            <a:lumOff val="80000"/>
          </a:schemeClr>
        </a:solidFill>
        <a:ln w="3175">
          <a:solidFill>
            <a:schemeClr val="accent4">
              <a:lumMod val="7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latin typeface="+mn-lt"/>
              <a:ea typeface="+mn-ea"/>
              <a:cs typeface="+mn-cs"/>
            </a:rPr>
            <a:t>RECOMENDED ACTIONS: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rgbClr val="7030A0"/>
              </a:solidFill>
              <a:latin typeface="+mn-lt"/>
              <a:ea typeface="+mn-ea"/>
              <a:cs typeface="+mn-cs"/>
            </a:rPr>
            <a:t>	1. conduct Regular Safety Training for high risk Department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rgbClr val="7030A0"/>
              </a:solidFill>
              <a:latin typeface="+mn-lt"/>
              <a:ea typeface="+mn-ea"/>
              <a:cs typeface="+mn-cs"/>
            </a:rPr>
            <a:t>	2. Strengthen Day Shift as well as Night Shift Supervision &amp; Lightings</a:t>
          </a:r>
        </a:p>
      </xdr:txBody>
    </xdr:sp>
    <xdr:clientData/>
  </xdr:oneCellAnchor>
  <xdr:twoCellAnchor>
    <xdr:from>
      <xdr:col>4</xdr:col>
      <xdr:colOff>136069</xdr:colOff>
      <xdr:row>0</xdr:row>
      <xdr:rowOff>149682</xdr:rowOff>
    </xdr:from>
    <xdr:to>
      <xdr:col>25</xdr:col>
      <xdr:colOff>340177</xdr:colOff>
      <xdr:row>4</xdr:row>
      <xdr:rowOff>1</xdr:rowOff>
    </xdr:to>
    <xdr:sp macro="" textlink="">
      <xdr:nvSpPr>
        <xdr:cNvPr id="21" name="Rectangle: Rounded Corners 20">
          <a:extLst>
            <a:ext uri="{FF2B5EF4-FFF2-40B4-BE49-F238E27FC236}">
              <a16:creationId xmlns:a16="http://schemas.microsoft.com/office/drawing/2014/main" id="{451A7A6D-6EC0-4FC7-A1D8-26DBAB33CB14}"/>
            </a:ext>
          </a:extLst>
        </xdr:cNvPr>
        <xdr:cNvSpPr/>
      </xdr:nvSpPr>
      <xdr:spPr>
        <a:xfrm>
          <a:off x="2476498" y="149682"/>
          <a:ext cx="12491358" cy="911676"/>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cap="none" spc="0">
              <a:ln w="0"/>
              <a:solidFill>
                <a:schemeClr val="tx1"/>
              </a:solidFill>
              <a:effectLst>
                <a:outerShdw blurRad="38100" dist="19050" dir="2700000" algn="tl" rotWithShape="0">
                  <a:schemeClr val="dk1">
                    <a:alpha val="40000"/>
                  </a:schemeClr>
                </a:outerShdw>
              </a:effectLst>
              <a:latin typeface="Constantia" panose="02030602050306030303" pitchFamily="18" charset="0"/>
            </a:rPr>
            <a:t>PLANT </a:t>
          </a:r>
          <a:r>
            <a:rPr lang="en-US" sz="2400" b="0" cap="none" spc="0">
              <a:ln w="0"/>
              <a:solidFill>
                <a:schemeClr val="tx1"/>
              </a:solidFill>
              <a:effectLst>
                <a:outerShdw blurRad="38100" dist="19050" dir="2700000" algn="tl" rotWithShape="0">
                  <a:schemeClr val="dk1">
                    <a:alpha val="40000"/>
                  </a:schemeClr>
                </a:outerShdw>
              </a:effectLst>
              <a:latin typeface="Constantia" panose="02030602050306030303" pitchFamily="18" charset="0"/>
            </a:rPr>
            <a:t>INJURY &amp; SAFETY ANALYTICS DASHBOARD</a:t>
          </a:r>
          <a:endParaRPr lang="en-US" sz="2600" b="0" cap="none" spc="0">
            <a:ln w="0"/>
            <a:solidFill>
              <a:schemeClr val="tx1"/>
            </a:solidFill>
            <a:effectLst>
              <a:outerShdw blurRad="38100" dist="19050" dir="2700000" algn="tl" rotWithShape="0">
                <a:schemeClr val="dk1">
                  <a:alpha val="40000"/>
                </a:schemeClr>
              </a:outerShdw>
            </a:effectLst>
            <a:latin typeface="Constantia" panose="02030602050306030303" pitchFamily="18" charset="0"/>
          </a:endParaRPr>
        </a:p>
        <a:p>
          <a:pPr algn="ctr"/>
          <a:r>
            <a:rPr lang="en-US" sz="1800" b="0" cap="none" spc="0">
              <a:ln w="0"/>
              <a:solidFill>
                <a:schemeClr val="tx1"/>
              </a:solidFill>
              <a:effectLst>
                <a:outerShdw blurRad="38100" dist="19050" dir="2700000" algn="tl" rotWithShape="0">
                  <a:schemeClr val="dk1">
                    <a:alpha val="40000"/>
                  </a:schemeClr>
                </a:outerShdw>
              </a:effectLst>
              <a:latin typeface="Constantia" panose="02030602050306030303" pitchFamily="18" charset="0"/>
            </a:rPr>
            <a:t>Multi - Plant Incident Performance Review  (2022 - 2025)</a:t>
          </a:r>
        </a:p>
      </xdr:txBody>
    </xdr:sp>
    <xdr:clientData/>
  </xdr:twoCellAnchor>
  <xdr:twoCellAnchor>
    <xdr:from>
      <xdr:col>25</xdr:col>
      <xdr:colOff>469900</xdr:colOff>
      <xdr:row>0</xdr:row>
      <xdr:rowOff>152402</xdr:rowOff>
    </xdr:from>
    <xdr:to>
      <xdr:col>27</xdr:col>
      <xdr:colOff>478366</xdr:colOff>
      <xdr:row>5</xdr:row>
      <xdr:rowOff>70758</xdr:rowOff>
    </xdr:to>
    <xdr:sp macro="" textlink="">
      <xdr:nvSpPr>
        <xdr:cNvPr id="4" name="Rounded Rectangle 52">
          <a:extLst>
            <a:ext uri="{FF2B5EF4-FFF2-40B4-BE49-F238E27FC236}">
              <a16:creationId xmlns:a16="http://schemas.microsoft.com/office/drawing/2014/main" id="{C1300C25-603A-44BA-A008-703D1B7EB1D4}"/>
            </a:ext>
          </a:extLst>
        </xdr:cNvPr>
        <xdr:cNvSpPr/>
      </xdr:nvSpPr>
      <xdr:spPr>
        <a:xfrm>
          <a:off x="15097579" y="152402"/>
          <a:ext cx="1178680" cy="1170213"/>
        </a:xfrm>
        <a:prstGeom prst="roundRect">
          <a:avLst/>
        </a:prstGeom>
        <a:blipFill dpi="0" rotWithShape="1">
          <a:blip xmlns:r="http://schemas.openxmlformats.org/officeDocument/2006/relationships" r:embed="rId15">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0.553925925924" createdVersion="4" refreshedVersion="4" minRefreshableVersion="3" recordCount="514" xr:uid="{00000000-000A-0000-FFFF-FFFF00000000}">
  <cacheSource type="worksheet">
    <worksheetSource ref="A1:N515" sheet="SafetyData"/>
  </cacheSource>
  <cacheFields count="14">
    <cacheField name="S.No" numFmtId="1">
      <sharedItems containsSemiMixedTypes="0" containsString="0" containsNumber="1" containsInteger="1" minValue="1" maxValue="514"/>
    </cacheField>
    <cacheField name="Date" numFmtId="165">
      <sharedItems containsSemiMixedTypes="0" containsNonDate="0" containsDate="1" containsString="0" minDate="2020-01-01T00:00:00" maxDate="2022-06-29T00:00:00"/>
    </cacheField>
    <cacheField name="Injury Location" numFmtId="0">
      <sharedItems count="12">
        <s v="Multiple"/>
        <s v="N/A"/>
        <s v="Eye"/>
        <s v="Legs"/>
        <s v="Neck"/>
        <s v="Feet"/>
        <s v="Arms"/>
        <s v="Back"/>
        <s v="Hands"/>
        <s v="Head"/>
        <s v="Abdomen"/>
        <s v="Trunk"/>
      </sharedItems>
    </cacheField>
    <cacheField name="Gender" numFmtId="0">
      <sharedItems count="2">
        <s v="Male"/>
        <s v="Female"/>
      </sharedItems>
    </cacheField>
    <cacheField name="Age" numFmtId="0">
      <sharedItems count="5">
        <s v="36-45"/>
        <s v="56-65"/>
        <s v="46-55"/>
        <s v="18-25"/>
        <s v="26-35"/>
      </sharedItems>
    </cacheField>
    <cacheField name="Incident Type" numFmtId="0">
      <sharedItems count="9">
        <s v="Burn"/>
        <s v="Vehicle"/>
        <s v="Cut"/>
        <s v="Falling object"/>
        <s v="Lifting"/>
        <s v="Crush &amp; Pinch"/>
        <s v="Fall"/>
        <s v="Equipment"/>
        <s v="Slip/trip"/>
      </sharedItems>
    </cacheField>
    <cacheField name="Days Lost" numFmtId="0">
      <sharedItems containsSemiMixedTypes="0" containsString="0" containsNumber="1" minValue="0" maxValue="5"/>
    </cacheField>
    <cacheField name="Plant" numFmtId="0">
      <sharedItems count="9">
        <s v="Bangalore"/>
        <s v="Mumbai"/>
        <s v="Chennai"/>
        <s v="Trivandrum"/>
        <s v="Delhi"/>
        <s v="Jaipur"/>
        <s v="Hyderabad"/>
        <s v="Kolkata"/>
        <s v="Bhopal"/>
      </sharedItems>
    </cacheField>
    <cacheField name="Report Type" numFmtId="0">
      <sharedItems count="4">
        <s v="Near Miss"/>
        <s v="Lost Time"/>
        <s v="First Aid"/>
        <s v="Medical Claim"/>
      </sharedItems>
    </cacheField>
    <cacheField name="Shift" numFmtId="0">
      <sharedItems count="3">
        <s v="Afternoon"/>
        <s v="Day"/>
        <s v="Night"/>
      </sharedItems>
    </cacheField>
    <cacheField name="Department" numFmtId="0">
      <sharedItems count="9">
        <s v="Painting"/>
        <s v="Fabrication"/>
        <s v="Administration"/>
        <s v="Security"/>
        <s v="Purchasing"/>
        <s v="Maintenance"/>
        <s v="Shipping"/>
        <s v="Finishing"/>
        <s v="Melting"/>
      </sharedItems>
    </cacheField>
    <cacheField name="Incident Cost" numFmtId="164">
      <sharedItems containsSemiMixedTypes="0" containsString="0" containsNumber="1" containsInteger="1" minValue="0" maxValue="5000"/>
    </cacheField>
    <cacheField name="Month" numFmtId="0">
      <sharedItems count="12">
        <s v="Jan"/>
        <s v="Feb"/>
        <s v="Mar"/>
        <s v="Apr"/>
        <s v="May"/>
        <s v="Jun"/>
        <s v="Jul"/>
        <s v="Aug"/>
        <s v="Sep"/>
        <s v="Oct"/>
        <s v="Nov"/>
        <s v="Dec"/>
      </sharedItems>
    </cacheField>
    <cacheField name="Year" numFmtId="1">
      <sharedItems containsSemiMixedTypes="0" containsString="0" containsNumber="1" containsInteger="1" minValue="2020" maxValue="2022" count="3">
        <n v="2020"/>
        <n v="2021"/>
        <n v="202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n v="1"/>
    <d v="2020-01-01T00:00:00"/>
    <x v="0"/>
    <x v="0"/>
    <x v="0"/>
    <x v="0"/>
    <n v="0"/>
    <x v="0"/>
    <x v="0"/>
    <x v="0"/>
    <x v="0"/>
    <n v="0"/>
    <x v="0"/>
    <x v="0"/>
  </r>
  <r>
    <n v="2"/>
    <d v="2020-01-03T00:00:00"/>
    <x v="1"/>
    <x v="0"/>
    <x v="1"/>
    <x v="1"/>
    <n v="0.5"/>
    <x v="1"/>
    <x v="1"/>
    <x v="1"/>
    <x v="1"/>
    <n v="3367"/>
    <x v="0"/>
    <x v="0"/>
  </r>
  <r>
    <n v="3"/>
    <d v="2020-01-03T00:00:00"/>
    <x v="2"/>
    <x v="0"/>
    <x v="0"/>
    <x v="2"/>
    <n v="0"/>
    <x v="2"/>
    <x v="0"/>
    <x v="1"/>
    <x v="2"/>
    <n v="0"/>
    <x v="0"/>
    <x v="0"/>
  </r>
  <r>
    <n v="4"/>
    <d v="2020-01-04T00:00:00"/>
    <x v="3"/>
    <x v="1"/>
    <x v="2"/>
    <x v="3"/>
    <n v="0"/>
    <x v="0"/>
    <x v="0"/>
    <x v="1"/>
    <x v="0"/>
    <n v="0"/>
    <x v="0"/>
    <x v="0"/>
  </r>
  <r>
    <n v="5"/>
    <d v="2020-01-07T00:00:00"/>
    <x v="3"/>
    <x v="0"/>
    <x v="0"/>
    <x v="4"/>
    <n v="0"/>
    <x v="3"/>
    <x v="0"/>
    <x v="1"/>
    <x v="0"/>
    <n v="0"/>
    <x v="0"/>
    <x v="0"/>
  </r>
  <r>
    <n v="6"/>
    <d v="2020-01-11T00:00:00"/>
    <x v="1"/>
    <x v="1"/>
    <x v="2"/>
    <x v="5"/>
    <n v="0"/>
    <x v="2"/>
    <x v="2"/>
    <x v="0"/>
    <x v="3"/>
    <n v="132"/>
    <x v="0"/>
    <x v="0"/>
  </r>
  <r>
    <n v="7"/>
    <d v="2020-01-11T00:00:00"/>
    <x v="4"/>
    <x v="0"/>
    <x v="3"/>
    <x v="5"/>
    <n v="3.5"/>
    <x v="0"/>
    <x v="1"/>
    <x v="1"/>
    <x v="4"/>
    <n v="4872"/>
    <x v="0"/>
    <x v="0"/>
  </r>
  <r>
    <n v="8"/>
    <d v="2020-01-12T00:00:00"/>
    <x v="5"/>
    <x v="0"/>
    <x v="2"/>
    <x v="0"/>
    <n v="1.5"/>
    <x v="4"/>
    <x v="1"/>
    <x v="2"/>
    <x v="2"/>
    <n v="1248"/>
    <x v="0"/>
    <x v="0"/>
  </r>
  <r>
    <n v="9"/>
    <d v="2020-01-15T00:00:00"/>
    <x v="1"/>
    <x v="0"/>
    <x v="4"/>
    <x v="6"/>
    <n v="0"/>
    <x v="5"/>
    <x v="2"/>
    <x v="0"/>
    <x v="5"/>
    <n v="29"/>
    <x v="0"/>
    <x v="0"/>
  </r>
  <r>
    <n v="10"/>
    <d v="2020-01-16T00:00:00"/>
    <x v="6"/>
    <x v="0"/>
    <x v="2"/>
    <x v="5"/>
    <n v="4.5"/>
    <x v="5"/>
    <x v="1"/>
    <x v="0"/>
    <x v="2"/>
    <n v="2525"/>
    <x v="0"/>
    <x v="0"/>
  </r>
  <r>
    <n v="11"/>
    <d v="2020-01-18T00:00:00"/>
    <x v="1"/>
    <x v="1"/>
    <x v="4"/>
    <x v="3"/>
    <n v="0"/>
    <x v="0"/>
    <x v="2"/>
    <x v="2"/>
    <x v="6"/>
    <n v="59"/>
    <x v="0"/>
    <x v="0"/>
  </r>
  <r>
    <n v="12"/>
    <d v="2020-01-23T00:00:00"/>
    <x v="4"/>
    <x v="0"/>
    <x v="2"/>
    <x v="5"/>
    <n v="0"/>
    <x v="1"/>
    <x v="3"/>
    <x v="0"/>
    <x v="6"/>
    <n v="1947"/>
    <x v="0"/>
    <x v="0"/>
  </r>
  <r>
    <n v="13"/>
    <d v="2020-01-26T00:00:00"/>
    <x v="2"/>
    <x v="0"/>
    <x v="2"/>
    <x v="1"/>
    <n v="0"/>
    <x v="5"/>
    <x v="3"/>
    <x v="1"/>
    <x v="7"/>
    <n v="2268"/>
    <x v="0"/>
    <x v="0"/>
  </r>
  <r>
    <n v="14"/>
    <d v="2020-01-27T00:00:00"/>
    <x v="2"/>
    <x v="0"/>
    <x v="0"/>
    <x v="0"/>
    <n v="0"/>
    <x v="6"/>
    <x v="3"/>
    <x v="1"/>
    <x v="5"/>
    <n v="628"/>
    <x v="0"/>
    <x v="0"/>
  </r>
  <r>
    <n v="15"/>
    <d v="2020-01-27T00:00:00"/>
    <x v="2"/>
    <x v="0"/>
    <x v="0"/>
    <x v="0"/>
    <n v="0"/>
    <x v="2"/>
    <x v="2"/>
    <x v="2"/>
    <x v="7"/>
    <n v="77"/>
    <x v="0"/>
    <x v="0"/>
  </r>
  <r>
    <n v="16"/>
    <d v="2020-01-27T00:00:00"/>
    <x v="7"/>
    <x v="0"/>
    <x v="2"/>
    <x v="2"/>
    <n v="0"/>
    <x v="3"/>
    <x v="2"/>
    <x v="1"/>
    <x v="6"/>
    <n v="341"/>
    <x v="0"/>
    <x v="0"/>
  </r>
  <r>
    <n v="17"/>
    <d v="2020-01-30T00:00:00"/>
    <x v="6"/>
    <x v="0"/>
    <x v="1"/>
    <x v="0"/>
    <n v="0"/>
    <x v="7"/>
    <x v="0"/>
    <x v="0"/>
    <x v="5"/>
    <n v="0"/>
    <x v="0"/>
    <x v="0"/>
  </r>
  <r>
    <n v="18"/>
    <d v="2020-01-30T00:00:00"/>
    <x v="8"/>
    <x v="0"/>
    <x v="4"/>
    <x v="6"/>
    <n v="0"/>
    <x v="4"/>
    <x v="3"/>
    <x v="1"/>
    <x v="8"/>
    <n v="2007"/>
    <x v="0"/>
    <x v="0"/>
  </r>
  <r>
    <n v="19"/>
    <d v="2020-02-01T00:00:00"/>
    <x v="0"/>
    <x v="0"/>
    <x v="0"/>
    <x v="5"/>
    <n v="0"/>
    <x v="8"/>
    <x v="2"/>
    <x v="2"/>
    <x v="0"/>
    <n v="338"/>
    <x v="1"/>
    <x v="0"/>
  </r>
  <r>
    <n v="20"/>
    <d v="2020-02-03T00:00:00"/>
    <x v="6"/>
    <x v="0"/>
    <x v="0"/>
    <x v="6"/>
    <n v="4"/>
    <x v="3"/>
    <x v="1"/>
    <x v="2"/>
    <x v="5"/>
    <n v="1196"/>
    <x v="1"/>
    <x v="0"/>
  </r>
  <r>
    <n v="21"/>
    <d v="2020-02-04T00:00:00"/>
    <x v="9"/>
    <x v="0"/>
    <x v="0"/>
    <x v="4"/>
    <n v="0"/>
    <x v="7"/>
    <x v="0"/>
    <x v="2"/>
    <x v="6"/>
    <n v="0"/>
    <x v="1"/>
    <x v="0"/>
  </r>
  <r>
    <n v="22"/>
    <d v="2020-02-09T00:00:00"/>
    <x v="5"/>
    <x v="0"/>
    <x v="0"/>
    <x v="5"/>
    <n v="0"/>
    <x v="7"/>
    <x v="2"/>
    <x v="0"/>
    <x v="8"/>
    <n v="180"/>
    <x v="1"/>
    <x v="0"/>
  </r>
  <r>
    <n v="23"/>
    <d v="2020-02-09T00:00:00"/>
    <x v="9"/>
    <x v="0"/>
    <x v="0"/>
    <x v="7"/>
    <n v="4.5"/>
    <x v="5"/>
    <x v="1"/>
    <x v="0"/>
    <x v="6"/>
    <n v="3784"/>
    <x v="1"/>
    <x v="0"/>
  </r>
  <r>
    <n v="24"/>
    <d v="2020-02-10T00:00:00"/>
    <x v="5"/>
    <x v="0"/>
    <x v="0"/>
    <x v="0"/>
    <n v="1.5"/>
    <x v="6"/>
    <x v="1"/>
    <x v="1"/>
    <x v="8"/>
    <n v="4414"/>
    <x v="1"/>
    <x v="0"/>
  </r>
  <r>
    <n v="25"/>
    <d v="2020-02-10T00:00:00"/>
    <x v="9"/>
    <x v="0"/>
    <x v="0"/>
    <x v="8"/>
    <n v="2.5"/>
    <x v="3"/>
    <x v="1"/>
    <x v="0"/>
    <x v="3"/>
    <n v="2790"/>
    <x v="1"/>
    <x v="0"/>
  </r>
  <r>
    <n v="26"/>
    <d v="2020-02-11T00:00:00"/>
    <x v="1"/>
    <x v="0"/>
    <x v="1"/>
    <x v="8"/>
    <n v="0"/>
    <x v="8"/>
    <x v="2"/>
    <x v="0"/>
    <x v="2"/>
    <n v="394"/>
    <x v="1"/>
    <x v="0"/>
  </r>
  <r>
    <n v="27"/>
    <d v="2020-02-12T00:00:00"/>
    <x v="8"/>
    <x v="0"/>
    <x v="4"/>
    <x v="6"/>
    <n v="4"/>
    <x v="7"/>
    <x v="1"/>
    <x v="0"/>
    <x v="7"/>
    <n v="4743"/>
    <x v="1"/>
    <x v="0"/>
  </r>
  <r>
    <n v="28"/>
    <d v="2020-02-13T00:00:00"/>
    <x v="1"/>
    <x v="0"/>
    <x v="0"/>
    <x v="0"/>
    <n v="4.5"/>
    <x v="8"/>
    <x v="1"/>
    <x v="2"/>
    <x v="7"/>
    <n v="3417"/>
    <x v="1"/>
    <x v="0"/>
  </r>
  <r>
    <n v="29"/>
    <d v="2020-02-13T00:00:00"/>
    <x v="3"/>
    <x v="0"/>
    <x v="1"/>
    <x v="5"/>
    <n v="0"/>
    <x v="1"/>
    <x v="3"/>
    <x v="2"/>
    <x v="0"/>
    <n v="2337"/>
    <x v="1"/>
    <x v="0"/>
  </r>
  <r>
    <n v="30"/>
    <d v="2020-02-14T00:00:00"/>
    <x v="10"/>
    <x v="0"/>
    <x v="1"/>
    <x v="7"/>
    <n v="0"/>
    <x v="2"/>
    <x v="0"/>
    <x v="2"/>
    <x v="6"/>
    <n v="0"/>
    <x v="1"/>
    <x v="0"/>
  </r>
  <r>
    <n v="31"/>
    <d v="2020-02-16T00:00:00"/>
    <x v="10"/>
    <x v="0"/>
    <x v="4"/>
    <x v="8"/>
    <n v="0"/>
    <x v="4"/>
    <x v="2"/>
    <x v="1"/>
    <x v="1"/>
    <n v="207"/>
    <x v="1"/>
    <x v="0"/>
  </r>
  <r>
    <n v="32"/>
    <d v="2020-02-17T00:00:00"/>
    <x v="0"/>
    <x v="1"/>
    <x v="2"/>
    <x v="6"/>
    <n v="2"/>
    <x v="3"/>
    <x v="1"/>
    <x v="2"/>
    <x v="5"/>
    <n v="2544"/>
    <x v="1"/>
    <x v="0"/>
  </r>
  <r>
    <n v="33"/>
    <d v="2020-02-19T00:00:00"/>
    <x v="0"/>
    <x v="1"/>
    <x v="4"/>
    <x v="7"/>
    <n v="0"/>
    <x v="7"/>
    <x v="3"/>
    <x v="1"/>
    <x v="2"/>
    <n v="3411"/>
    <x v="1"/>
    <x v="0"/>
  </r>
  <r>
    <n v="34"/>
    <d v="2020-02-20T00:00:00"/>
    <x v="7"/>
    <x v="0"/>
    <x v="2"/>
    <x v="8"/>
    <n v="0"/>
    <x v="4"/>
    <x v="0"/>
    <x v="0"/>
    <x v="1"/>
    <n v="0"/>
    <x v="1"/>
    <x v="0"/>
  </r>
  <r>
    <n v="35"/>
    <d v="2020-02-22T00:00:00"/>
    <x v="1"/>
    <x v="0"/>
    <x v="1"/>
    <x v="7"/>
    <n v="0"/>
    <x v="2"/>
    <x v="3"/>
    <x v="0"/>
    <x v="1"/>
    <n v="4800"/>
    <x v="1"/>
    <x v="0"/>
  </r>
  <r>
    <n v="36"/>
    <d v="2020-02-27T00:00:00"/>
    <x v="4"/>
    <x v="0"/>
    <x v="2"/>
    <x v="7"/>
    <n v="0"/>
    <x v="6"/>
    <x v="3"/>
    <x v="2"/>
    <x v="5"/>
    <n v="3339"/>
    <x v="1"/>
    <x v="0"/>
  </r>
  <r>
    <n v="37"/>
    <d v="2020-02-28T00:00:00"/>
    <x v="7"/>
    <x v="0"/>
    <x v="2"/>
    <x v="4"/>
    <n v="5"/>
    <x v="7"/>
    <x v="1"/>
    <x v="2"/>
    <x v="1"/>
    <n v="4969"/>
    <x v="1"/>
    <x v="0"/>
  </r>
  <r>
    <n v="38"/>
    <d v="2020-03-01T00:00:00"/>
    <x v="11"/>
    <x v="0"/>
    <x v="1"/>
    <x v="6"/>
    <n v="0"/>
    <x v="7"/>
    <x v="2"/>
    <x v="0"/>
    <x v="6"/>
    <n v="360"/>
    <x v="2"/>
    <x v="0"/>
  </r>
  <r>
    <n v="39"/>
    <d v="2020-03-03T00:00:00"/>
    <x v="2"/>
    <x v="0"/>
    <x v="0"/>
    <x v="0"/>
    <n v="0"/>
    <x v="0"/>
    <x v="0"/>
    <x v="0"/>
    <x v="6"/>
    <n v="0"/>
    <x v="2"/>
    <x v="0"/>
  </r>
  <r>
    <n v="40"/>
    <d v="2020-03-03T00:00:00"/>
    <x v="1"/>
    <x v="0"/>
    <x v="4"/>
    <x v="5"/>
    <n v="2.5"/>
    <x v="5"/>
    <x v="1"/>
    <x v="1"/>
    <x v="5"/>
    <n v="4718"/>
    <x v="2"/>
    <x v="0"/>
  </r>
  <r>
    <n v="41"/>
    <d v="2020-03-06T00:00:00"/>
    <x v="2"/>
    <x v="0"/>
    <x v="4"/>
    <x v="0"/>
    <n v="0"/>
    <x v="3"/>
    <x v="0"/>
    <x v="2"/>
    <x v="6"/>
    <n v="0"/>
    <x v="2"/>
    <x v="0"/>
  </r>
  <r>
    <n v="42"/>
    <d v="2020-03-06T00:00:00"/>
    <x v="9"/>
    <x v="0"/>
    <x v="0"/>
    <x v="2"/>
    <n v="0"/>
    <x v="7"/>
    <x v="2"/>
    <x v="1"/>
    <x v="6"/>
    <n v="456"/>
    <x v="2"/>
    <x v="0"/>
  </r>
  <r>
    <n v="43"/>
    <d v="2020-03-07T00:00:00"/>
    <x v="5"/>
    <x v="0"/>
    <x v="2"/>
    <x v="6"/>
    <n v="0"/>
    <x v="1"/>
    <x v="2"/>
    <x v="2"/>
    <x v="2"/>
    <n v="307"/>
    <x v="2"/>
    <x v="0"/>
  </r>
  <r>
    <n v="44"/>
    <d v="2020-03-11T00:00:00"/>
    <x v="6"/>
    <x v="0"/>
    <x v="4"/>
    <x v="2"/>
    <n v="0"/>
    <x v="3"/>
    <x v="0"/>
    <x v="1"/>
    <x v="5"/>
    <n v="0"/>
    <x v="2"/>
    <x v="0"/>
  </r>
  <r>
    <n v="45"/>
    <d v="2020-03-12T00:00:00"/>
    <x v="4"/>
    <x v="1"/>
    <x v="1"/>
    <x v="6"/>
    <n v="0"/>
    <x v="5"/>
    <x v="3"/>
    <x v="1"/>
    <x v="2"/>
    <n v="4933"/>
    <x v="2"/>
    <x v="0"/>
  </r>
  <r>
    <n v="46"/>
    <d v="2020-03-17T00:00:00"/>
    <x v="10"/>
    <x v="0"/>
    <x v="0"/>
    <x v="8"/>
    <n v="4.5"/>
    <x v="0"/>
    <x v="1"/>
    <x v="1"/>
    <x v="1"/>
    <n v="3146"/>
    <x v="2"/>
    <x v="0"/>
  </r>
  <r>
    <n v="47"/>
    <d v="2020-03-20T00:00:00"/>
    <x v="2"/>
    <x v="0"/>
    <x v="2"/>
    <x v="4"/>
    <n v="0"/>
    <x v="7"/>
    <x v="0"/>
    <x v="1"/>
    <x v="3"/>
    <n v="0"/>
    <x v="2"/>
    <x v="0"/>
  </r>
  <r>
    <n v="48"/>
    <d v="2020-03-21T00:00:00"/>
    <x v="7"/>
    <x v="0"/>
    <x v="2"/>
    <x v="3"/>
    <n v="0"/>
    <x v="3"/>
    <x v="3"/>
    <x v="2"/>
    <x v="8"/>
    <n v="3084"/>
    <x v="2"/>
    <x v="0"/>
  </r>
  <r>
    <n v="49"/>
    <d v="2020-03-23T00:00:00"/>
    <x v="0"/>
    <x v="0"/>
    <x v="2"/>
    <x v="3"/>
    <n v="0"/>
    <x v="5"/>
    <x v="0"/>
    <x v="0"/>
    <x v="7"/>
    <n v="0"/>
    <x v="2"/>
    <x v="0"/>
  </r>
  <r>
    <n v="50"/>
    <d v="2020-04-03T00:00:00"/>
    <x v="3"/>
    <x v="0"/>
    <x v="0"/>
    <x v="0"/>
    <n v="0"/>
    <x v="4"/>
    <x v="2"/>
    <x v="2"/>
    <x v="0"/>
    <n v="260"/>
    <x v="3"/>
    <x v="0"/>
  </r>
  <r>
    <n v="51"/>
    <d v="2020-04-04T00:00:00"/>
    <x v="11"/>
    <x v="0"/>
    <x v="2"/>
    <x v="7"/>
    <n v="0"/>
    <x v="8"/>
    <x v="2"/>
    <x v="0"/>
    <x v="8"/>
    <n v="40"/>
    <x v="3"/>
    <x v="0"/>
  </r>
  <r>
    <n v="52"/>
    <d v="2020-04-04T00:00:00"/>
    <x v="7"/>
    <x v="0"/>
    <x v="0"/>
    <x v="1"/>
    <n v="0"/>
    <x v="7"/>
    <x v="3"/>
    <x v="1"/>
    <x v="7"/>
    <n v="2615"/>
    <x v="3"/>
    <x v="0"/>
  </r>
  <r>
    <n v="53"/>
    <d v="2020-04-04T00:00:00"/>
    <x v="6"/>
    <x v="0"/>
    <x v="4"/>
    <x v="3"/>
    <n v="4.5"/>
    <x v="7"/>
    <x v="1"/>
    <x v="1"/>
    <x v="2"/>
    <n v="450"/>
    <x v="3"/>
    <x v="0"/>
  </r>
  <r>
    <n v="54"/>
    <d v="2020-04-06T00:00:00"/>
    <x v="1"/>
    <x v="0"/>
    <x v="4"/>
    <x v="8"/>
    <n v="0"/>
    <x v="8"/>
    <x v="3"/>
    <x v="2"/>
    <x v="7"/>
    <n v="4462"/>
    <x v="3"/>
    <x v="0"/>
  </r>
  <r>
    <n v="55"/>
    <d v="2020-04-07T00:00:00"/>
    <x v="3"/>
    <x v="0"/>
    <x v="2"/>
    <x v="4"/>
    <n v="0"/>
    <x v="3"/>
    <x v="2"/>
    <x v="2"/>
    <x v="4"/>
    <n v="76"/>
    <x v="3"/>
    <x v="0"/>
  </r>
  <r>
    <n v="56"/>
    <d v="2020-04-12T00:00:00"/>
    <x v="1"/>
    <x v="0"/>
    <x v="4"/>
    <x v="6"/>
    <n v="0"/>
    <x v="3"/>
    <x v="2"/>
    <x v="2"/>
    <x v="5"/>
    <n v="297"/>
    <x v="3"/>
    <x v="0"/>
  </r>
  <r>
    <n v="57"/>
    <d v="2020-04-13T00:00:00"/>
    <x v="2"/>
    <x v="1"/>
    <x v="4"/>
    <x v="1"/>
    <n v="4.5"/>
    <x v="1"/>
    <x v="1"/>
    <x v="2"/>
    <x v="1"/>
    <n v="1152"/>
    <x v="3"/>
    <x v="0"/>
  </r>
  <r>
    <n v="58"/>
    <d v="2020-04-13T00:00:00"/>
    <x v="3"/>
    <x v="0"/>
    <x v="2"/>
    <x v="8"/>
    <n v="0"/>
    <x v="8"/>
    <x v="0"/>
    <x v="1"/>
    <x v="7"/>
    <n v="0"/>
    <x v="3"/>
    <x v="0"/>
  </r>
  <r>
    <n v="59"/>
    <d v="2020-04-14T00:00:00"/>
    <x v="7"/>
    <x v="0"/>
    <x v="0"/>
    <x v="0"/>
    <n v="0"/>
    <x v="6"/>
    <x v="2"/>
    <x v="2"/>
    <x v="4"/>
    <n v="173"/>
    <x v="3"/>
    <x v="0"/>
  </r>
  <r>
    <n v="60"/>
    <d v="2020-04-14T00:00:00"/>
    <x v="6"/>
    <x v="0"/>
    <x v="1"/>
    <x v="6"/>
    <n v="0"/>
    <x v="7"/>
    <x v="0"/>
    <x v="2"/>
    <x v="7"/>
    <n v="0"/>
    <x v="3"/>
    <x v="0"/>
  </r>
  <r>
    <n v="61"/>
    <d v="2020-04-15T00:00:00"/>
    <x v="7"/>
    <x v="0"/>
    <x v="1"/>
    <x v="3"/>
    <n v="1.5"/>
    <x v="8"/>
    <x v="1"/>
    <x v="0"/>
    <x v="6"/>
    <n v="4731"/>
    <x v="3"/>
    <x v="0"/>
  </r>
  <r>
    <n v="62"/>
    <d v="2020-04-16T00:00:00"/>
    <x v="2"/>
    <x v="0"/>
    <x v="2"/>
    <x v="0"/>
    <n v="0"/>
    <x v="0"/>
    <x v="2"/>
    <x v="0"/>
    <x v="0"/>
    <n v="155"/>
    <x v="3"/>
    <x v="0"/>
  </r>
  <r>
    <n v="63"/>
    <d v="2020-04-17T00:00:00"/>
    <x v="10"/>
    <x v="0"/>
    <x v="0"/>
    <x v="5"/>
    <n v="3"/>
    <x v="2"/>
    <x v="1"/>
    <x v="2"/>
    <x v="2"/>
    <n v="3425"/>
    <x v="3"/>
    <x v="0"/>
  </r>
  <r>
    <n v="64"/>
    <d v="2020-04-18T00:00:00"/>
    <x v="4"/>
    <x v="0"/>
    <x v="4"/>
    <x v="0"/>
    <n v="0"/>
    <x v="1"/>
    <x v="0"/>
    <x v="2"/>
    <x v="2"/>
    <n v="0"/>
    <x v="3"/>
    <x v="0"/>
  </r>
  <r>
    <n v="65"/>
    <d v="2020-04-21T00:00:00"/>
    <x v="6"/>
    <x v="0"/>
    <x v="4"/>
    <x v="2"/>
    <n v="3"/>
    <x v="4"/>
    <x v="1"/>
    <x v="2"/>
    <x v="1"/>
    <n v="2627"/>
    <x v="3"/>
    <x v="0"/>
  </r>
  <r>
    <n v="66"/>
    <d v="2020-04-21T00:00:00"/>
    <x v="9"/>
    <x v="1"/>
    <x v="4"/>
    <x v="1"/>
    <n v="4"/>
    <x v="6"/>
    <x v="1"/>
    <x v="0"/>
    <x v="6"/>
    <n v="3680"/>
    <x v="3"/>
    <x v="0"/>
  </r>
  <r>
    <n v="67"/>
    <d v="2020-04-22T00:00:00"/>
    <x v="3"/>
    <x v="0"/>
    <x v="2"/>
    <x v="1"/>
    <n v="0"/>
    <x v="0"/>
    <x v="2"/>
    <x v="1"/>
    <x v="2"/>
    <n v="281"/>
    <x v="3"/>
    <x v="0"/>
  </r>
  <r>
    <n v="68"/>
    <d v="2020-04-22T00:00:00"/>
    <x v="3"/>
    <x v="0"/>
    <x v="1"/>
    <x v="7"/>
    <n v="0"/>
    <x v="0"/>
    <x v="0"/>
    <x v="0"/>
    <x v="3"/>
    <n v="0"/>
    <x v="3"/>
    <x v="0"/>
  </r>
  <r>
    <n v="69"/>
    <d v="2020-04-24T00:00:00"/>
    <x v="7"/>
    <x v="0"/>
    <x v="0"/>
    <x v="4"/>
    <n v="1"/>
    <x v="7"/>
    <x v="1"/>
    <x v="1"/>
    <x v="5"/>
    <n v="3954"/>
    <x v="3"/>
    <x v="0"/>
  </r>
  <r>
    <n v="70"/>
    <d v="2020-04-25T00:00:00"/>
    <x v="2"/>
    <x v="1"/>
    <x v="4"/>
    <x v="7"/>
    <n v="0"/>
    <x v="7"/>
    <x v="0"/>
    <x v="1"/>
    <x v="4"/>
    <n v="0"/>
    <x v="3"/>
    <x v="0"/>
  </r>
  <r>
    <n v="71"/>
    <d v="2020-04-27T00:00:00"/>
    <x v="11"/>
    <x v="1"/>
    <x v="4"/>
    <x v="8"/>
    <n v="0"/>
    <x v="4"/>
    <x v="0"/>
    <x v="1"/>
    <x v="4"/>
    <n v="0"/>
    <x v="3"/>
    <x v="0"/>
  </r>
  <r>
    <n v="72"/>
    <d v="2020-05-02T00:00:00"/>
    <x v="3"/>
    <x v="0"/>
    <x v="0"/>
    <x v="4"/>
    <n v="0"/>
    <x v="8"/>
    <x v="3"/>
    <x v="1"/>
    <x v="5"/>
    <n v="2461"/>
    <x v="4"/>
    <x v="0"/>
  </r>
  <r>
    <n v="73"/>
    <d v="2020-05-04T00:00:00"/>
    <x v="9"/>
    <x v="0"/>
    <x v="3"/>
    <x v="2"/>
    <n v="0"/>
    <x v="8"/>
    <x v="3"/>
    <x v="1"/>
    <x v="2"/>
    <n v="3851"/>
    <x v="4"/>
    <x v="0"/>
  </r>
  <r>
    <n v="74"/>
    <d v="2020-05-05T00:00:00"/>
    <x v="5"/>
    <x v="0"/>
    <x v="0"/>
    <x v="0"/>
    <n v="0"/>
    <x v="5"/>
    <x v="2"/>
    <x v="2"/>
    <x v="7"/>
    <n v="224"/>
    <x v="4"/>
    <x v="0"/>
  </r>
  <r>
    <n v="75"/>
    <d v="2020-05-07T00:00:00"/>
    <x v="4"/>
    <x v="0"/>
    <x v="2"/>
    <x v="4"/>
    <n v="4"/>
    <x v="5"/>
    <x v="1"/>
    <x v="2"/>
    <x v="7"/>
    <n v="3969"/>
    <x v="4"/>
    <x v="0"/>
  </r>
  <r>
    <n v="76"/>
    <d v="2020-05-08T00:00:00"/>
    <x v="6"/>
    <x v="0"/>
    <x v="0"/>
    <x v="0"/>
    <n v="0"/>
    <x v="1"/>
    <x v="2"/>
    <x v="2"/>
    <x v="2"/>
    <n v="434"/>
    <x v="4"/>
    <x v="0"/>
  </r>
  <r>
    <n v="77"/>
    <d v="2020-05-08T00:00:00"/>
    <x v="4"/>
    <x v="0"/>
    <x v="4"/>
    <x v="5"/>
    <n v="1"/>
    <x v="3"/>
    <x v="1"/>
    <x v="2"/>
    <x v="8"/>
    <n v="1173"/>
    <x v="4"/>
    <x v="0"/>
  </r>
  <r>
    <n v="78"/>
    <d v="2020-05-09T00:00:00"/>
    <x v="2"/>
    <x v="0"/>
    <x v="2"/>
    <x v="6"/>
    <n v="0"/>
    <x v="1"/>
    <x v="2"/>
    <x v="0"/>
    <x v="5"/>
    <n v="236"/>
    <x v="4"/>
    <x v="0"/>
  </r>
  <r>
    <n v="79"/>
    <d v="2020-05-10T00:00:00"/>
    <x v="11"/>
    <x v="0"/>
    <x v="4"/>
    <x v="4"/>
    <n v="0"/>
    <x v="0"/>
    <x v="0"/>
    <x v="1"/>
    <x v="2"/>
    <n v="0"/>
    <x v="4"/>
    <x v="0"/>
  </r>
  <r>
    <n v="80"/>
    <d v="2020-05-10T00:00:00"/>
    <x v="5"/>
    <x v="0"/>
    <x v="4"/>
    <x v="5"/>
    <n v="1.5"/>
    <x v="7"/>
    <x v="1"/>
    <x v="2"/>
    <x v="5"/>
    <n v="1592"/>
    <x v="4"/>
    <x v="0"/>
  </r>
  <r>
    <n v="81"/>
    <d v="2020-05-11T00:00:00"/>
    <x v="10"/>
    <x v="0"/>
    <x v="4"/>
    <x v="8"/>
    <n v="0"/>
    <x v="2"/>
    <x v="0"/>
    <x v="2"/>
    <x v="6"/>
    <n v="0"/>
    <x v="4"/>
    <x v="0"/>
  </r>
  <r>
    <n v="82"/>
    <d v="2020-05-13T00:00:00"/>
    <x v="5"/>
    <x v="0"/>
    <x v="0"/>
    <x v="6"/>
    <n v="0"/>
    <x v="7"/>
    <x v="0"/>
    <x v="0"/>
    <x v="8"/>
    <n v="0"/>
    <x v="4"/>
    <x v="0"/>
  </r>
  <r>
    <n v="83"/>
    <d v="2020-05-13T00:00:00"/>
    <x v="4"/>
    <x v="0"/>
    <x v="1"/>
    <x v="2"/>
    <n v="0"/>
    <x v="8"/>
    <x v="2"/>
    <x v="2"/>
    <x v="5"/>
    <n v="457"/>
    <x v="4"/>
    <x v="0"/>
  </r>
  <r>
    <n v="84"/>
    <d v="2020-05-17T00:00:00"/>
    <x v="1"/>
    <x v="0"/>
    <x v="0"/>
    <x v="2"/>
    <n v="0"/>
    <x v="3"/>
    <x v="0"/>
    <x v="1"/>
    <x v="3"/>
    <n v="0"/>
    <x v="4"/>
    <x v="0"/>
  </r>
  <r>
    <n v="85"/>
    <d v="2020-05-17T00:00:00"/>
    <x v="9"/>
    <x v="0"/>
    <x v="3"/>
    <x v="6"/>
    <n v="0"/>
    <x v="3"/>
    <x v="2"/>
    <x v="0"/>
    <x v="3"/>
    <n v="247"/>
    <x v="4"/>
    <x v="0"/>
  </r>
  <r>
    <n v="86"/>
    <d v="2020-05-19T00:00:00"/>
    <x v="8"/>
    <x v="0"/>
    <x v="1"/>
    <x v="5"/>
    <n v="0"/>
    <x v="2"/>
    <x v="2"/>
    <x v="2"/>
    <x v="2"/>
    <n v="457"/>
    <x v="4"/>
    <x v="0"/>
  </r>
  <r>
    <n v="87"/>
    <d v="2020-05-21T00:00:00"/>
    <x v="7"/>
    <x v="0"/>
    <x v="3"/>
    <x v="3"/>
    <n v="0"/>
    <x v="8"/>
    <x v="0"/>
    <x v="0"/>
    <x v="3"/>
    <n v="0"/>
    <x v="4"/>
    <x v="0"/>
  </r>
  <r>
    <n v="88"/>
    <d v="2020-05-22T00:00:00"/>
    <x v="11"/>
    <x v="0"/>
    <x v="0"/>
    <x v="3"/>
    <n v="0"/>
    <x v="3"/>
    <x v="2"/>
    <x v="1"/>
    <x v="8"/>
    <n v="305"/>
    <x v="4"/>
    <x v="0"/>
  </r>
  <r>
    <n v="89"/>
    <d v="2020-05-23T00:00:00"/>
    <x v="4"/>
    <x v="0"/>
    <x v="4"/>
    <x v="4"/>
    <n v="0"/>
    <x v="7"/>
    <x v="0"/>
    <x v="0"/>
    <x v="2"/>
    <n v="0"/>
    <x v="4"/>
    <x v="0"/>
  </r>
  <r>
    <n v="90"/>
    <d v="2020-05-25T00:00:00"/>
    <x v="9"/>
    <x v="0"/>
    <x v="1"/>
    <x v="5"/>
    <n v="0.5"/>
    <x v="5"/>
    <x v="1"/>
    <x v="0"/>
    <x v="4"/>
    <n v="2468"/>
    <x v="4"/>
    <x v="0"/>
  </r>
  <r>
    <n v="91"/>
    <d v="2020-05-26T00:00:00"/>
    <x v="6"/>
    <x v="0"/>
    <x v="1"/>
    <x v="0"/>
    <n v="0.5"/>
    <x v="4"/>
    <x v="1"/>
    <x v="0"/>
    <x v="7"/>
    <n v="786"/>
    <x v="4"/>
    <x v="0"/>
  </r>
  <r>
    <n v="92"/>
    <d v="2020-05-26T00:00:00"/>
    <x v="2"/>
    <x v="0"/>
    <x v="0"/>
    <x v="4"/>
    <n v="0"/>
    <x v="1"/>
    <x v="3"/>
    <x v="1"/>
    <x v="2"/>
    <n v="2481"/>
    <x v="4"/>
    <x v="0"/>
  </r>
  <r>
    <n v="93"/>
    <d v="2020-05-29T00:00:00"/>
    <x v="6"/>
    <x v="0"/>
    <x v="0"/>
    <x v="0"/>
    <n v="0.5"/>
    <x v="4"/>
    <x v="1"/>
    <x v="1"/>
    <x v="6"/>
    <n v="674"/>
    <x v="4"/>
    <x v="0"/>
  </r>
  <r>
    <n v="94"/>
    <d v="2020-05-31T00:00:00"/>
    <x v="9"/>
    <x v="0"/>
    <x v="1"/>
    <x v="5"/>
    <n v="0"/>
    <x v="1"/>
    <x v="0"/>
    <x v="2"/>
    <x v="4"/>
    <n v="0"/>
    <x v="4"/>
    <x v="0"/>
  </r>
  <r>
    <n v="95"/>
    <d v="2020-05-31T00:00:00"/>
    <x v="3"/>
    <x v="0"/>
    <x v="2"/>
    <x v="4"/>
    <n v="0"/>
    <x v="1"/>
    <x v="0"/>
    <x v="0"/>
    <x v="6"/>
    <n v="0"/>
    <x v="4"/>
    <x v="0"/>
  </r>
  <r>
    <n v="96"/>
    <d v="2020-06-02T00:00:00"/>
    <x v="5"/>
    <x v="0"/>
    <x v="2"/>
    <x v="8"/>
    <n v="0"/>
    <x v="2"/>
    <x v="0"/>
    <x v="0"/>
    <x v="6"/>
    <n v="0"/>
    <x v="5"/>
    <x v="0"/>
  </r>
  <r>
    <n v="97"/>
    <d v="2020-06-07T00:00:00"/>
    <x v="3"/>
    <x v="0"/>
    <x v="0"/>
    <x v="7"/>
    <n v="0"/>
    <x v="2"/>
    <x v="0"/>
    <x v="2"/>
    <x v="6"/>
    <n v="0"/>
    <x v="5"/>
    <x v="0"/>
  </r>
  <r>
    <n v="98"/>
    <d v="2020-06-10T00:00:00"/>
    <x v="7"/>
    <x v="0"/>
    <x v="0"/>
    <x v="7"/>
    <n v="2.5"/>
    <x v="3"/>
    <x v="1"/>
    <x v="2"/>
    <x v="6"/>
    <n v="2370"/>
    <x v="5"/>
    <x v="0"/>
  </r>
  <r>
    <n v="99"/>
    <d v="2020-06-11T00:00:00"/>
    <x v="8"/>
    <x v="0"/>
    <x v="4"/>
    <x v="3"/>
    <n v="0"/>
    <x v="4"/>
    <x v="3"/>
    <x v="2"/>
    <x v="4"/>
    <n v="1121"/>
    <x v="5"/>
    <x v="0"/>
  </r>
  <r>
    <n v="100"/>
    <d v="2020-06-12T00:00:00"/>
    <x v="2"/>
    <x v="0"/>
    <x v="0"/>
    <x v="8"/>
    <n v="0"/>
    <x v="4"/>
    <x v="3"/>
    <x v="1"/>
    <x v="5"/>
    <n v="3269"/>
    <x v="5"/>
    <x v="0"/>
  </r>
  <r>
    <n v="101"/>
    <d v="2020-06-15T00:00:00"/>
    <x v="3"/>
    <x v="0"/>
    <x v="4"/>
    <x v="4"/>
    <n v="0"/>
    <x v="8"/>
    <x v="2"/>
    <x v="1"/>
    <x v="0"/>
    <n v="249"/>
    <x v="5"/>
    <x v="0"/>
  </r>
  <r>
    <n v="102"/>
    <d v="2020-06-15T00:00:00"/>
    <x v="0"/>
    <x v="0"/>
    <x v="1"/>
    <x v="0"/>
    <n v="0"/>
    <x v="8"/>
    <x v="2"/>
    <x v="2"/>
    <x v="6"/>
    <n v="423"/>
    <x v="5"/>
    <x v="0"/>
  </r>
  <r>
    <n v="103"/>
    <d v="2020-06-16T00:00:00"/>
    <x v="5"/>
    <x v="0"/>
    <x v="0"/>
    <x v="3"/>
    <n v="0"/>
    <x v="2"/>
    <x v="3"/>
    <x v="1"/>
    <x v="5"/>
    <n v="3397"/>
    <x v="5"/>
    <x v="0"/>
  </r>
  <r>
    <n v="104"/>
    <d v="2020-06-19T00:00:00"/>
    <x v="9"/>
    <x v="1"/>
    <x v="0"/>
    <x v="3"/>
    <n v="0"/>
    <x v="4"/>
    <x v="3"/>
    <x v="1"/>
    <x v="1"/>
    <n v="4016"/>
    <x v="5"/>
    <x v="0"/>
  </r>
  <r>
    <n v="105"/>
    <d v="2020-06-23T00:00:00"/>
    <x v="8"/>
    <x v="0"/>
    <x v="2"/>
    <x v="8"/>
    <n v="0"/>
    <x v="7"/>
    <x v="3"/>
    <x v="0"/>
    <x v="5"/>
    <n v="2387"/>
    <x v="5"/>
    <x v="0"/>
  </r>
  <r>
    <n v="106"/>
    <d v="2020-06-26T00:00:00"/>
    <x v="3"/>
    <x v="0"/>
    <x v="2"/>
    <x v="5"/>
    <n v="0"/>
    <x v="0"/>
    <x v="0"/>
    <x v="0"/>
    <x v="2"/>
    <n v="0"/>
    <x v="5"/>
    <x v="0"/>
  </r>
  <r>
    <n v="107"/>
    <d v="2020-06-27T00:00:00"/>
    <x v="7"/>
    <x v="0"/>
    <x v="4"/>
    <x v="8"/>
    <n v="0"/>
    <x v="7"/>
    <x v="3"/>
    <x v="0"/>
    <x v="6"/>
    <n v="4292"/>
    <x v="5"/>
    <x v="0"/>
  </r>
  <r>
    <n v="108"/>
    <d v="2020-06-28T00:00:00"/>
    <x v="5"/>
    <x v="1"/>
    <x v="4"/>
    <x v="7"/>
    <n v="2"/>
    <x v="1"/>
    <x v="1"/>
    <x v="1"/>
    <x v="8"/>
    <n v="1635"/>
    <x v="5"/>
    <x v="0"/>
  </r>
  <r>
    <n v="109"/>
    <d v="2020-06-30T00:00:00"/>
    <x v="11"/>
    <x v="0"/>
    <x v="0"/>
    <x v="5"/>
    <n v="0"/>
    <x v="5"/>
    <x v="0"/>
    <x v="2"/>
    <x v="3"/>
    <n v="0"/>
    <x v="5"/>
    <x v="0"/>
  </r>
  <r>
    <n v="110"/>
    <d v="2020-06-30T00:00:00"/>
    <x v="4"/>
    <x v="0"/>
    <x v="2"/>
    <x v="8"/>
    <n v="5"/>
    <x v="1"/>
    <x v="1"/>
    <x v="1"/>
    <x v="3"/>
    <n v="603"/>
    <x v="5"/>
    <x v="0"/>
  </r>
  <r>
    <n v="111"/>
    <d v="2020-07-01T00:00:00"/>
    <x v="4"/>
    <x v="0"/>
    <x v="2"/>
    <x v="4"/>
    <n v="0"/>
    <x v="1"/>
    <x v="3"/>
    <x v="0"/>
    <x v="7"/>
    <n v="1335"/>
    <x v="6"/>
    <x v="0"/>
  </r>
  <r>
    <n v="112"/>
    <d v="2020-07-06T00:00:00"/>
    <x v="1"/>
    <x v="1"/>
    <x v="2"/>
    <x v="7"/>
    <n v="0"/>
    <x v="3"/>
    <x v="2"/>
    <x v="1"/>
    <x v="8"/>
    <n v="250"/>
    <x v="6"/>
    <x v="0"/>
  </r>
  <r>
    <n v="113"/>
    <d v="2020-07-06T00:00:00"/>
    <x v="4"/>
    <x v="0"/>
    <x v="2"/>
    <x v="0"/>
    <n v="2"/>
    <x v="8"/>
    <x v="1"/>
    <x v="1"/>
    <x v="3"/>
    <n v="3203"/>
    <x v="6"/>
    <x v="0"/>
  </r>
  <r>
    <n v="114"/>
    <d v="2020-07-07T00:00:00"/>
    <x v="7"/>
    <x v="0"/>
    <x v="1"/>
    <x v="8"/>
    <n v="0"/>
    <x v="8"/>
    <x v="3"/>
    <x v="1"/>
    <x v="5"/>
    <n v="4246"/>
    <x v="6"/>
    <x v="0"/>
  </r>
  <r>
    <n v="115"/>
    <d v="2020-07-10T00:00:00"/>
    <x v="10"/>
    <x v="0"/>
    <x v="4"/>
    <x v="5"/>
    <n v="0"/>
    <x v="5"/>
    <x v="3"/>
    <x v="0"/>
    <x v="8"/>
    <n v="4229"/>
    <x v="6"/>
    <x v="0"/>
  </r>
  <r>
    <n v="116"/>
    <d v="2020-07-11T00:00:00"/>
    <x v="6"/>
    <x v="0"/>
    <x v="0"/>
    <x v="3"/>
    <n v="1"/>
    <x v="1"/>
    <x v="1"/>
    <x v="2"/>
    <x v="2"/>
    <n v="3256"/>
    <x v="6"/>
    <x v="0"/>
  </r>
  <r>
    <n v="117"/>
    <d v="2020-07-12T00:00:00"/>
    <x v="11"/>
    <x v="0"/>
    <x v="1"/>
    <x v="2"/>
    <n v="4"/>
    <x v="0"/>
    <x v="1"/>
    <x v="2"/>
    <x v="7"/>
    <n v="2861"/>
    <x v="6"/>
    <x v="0"/>
  </r>
  <r>
    <n v="118"/>
    <d v="2020-07-12T00:00:00"/>
    <x v="2"/>
    <x v="0"/>
    <x v="2"/>
    <x v="8"/>
    <n v="0"/>
    <x v="7"/>
    <x v="2"/>
    <x v="2"/>
    <x v="8"/>
    <n v="118"/>
    <x v="6"/>
    <x v="0"/>
  </r>
  <r>
    <n v="119"/>
    <d v="2020-07-13T00:00:00"/>
    <x v="1"/>
    <x v="0"/>
    <x v="4"/>
    <x v="7"/>
    <n v="3.5"/>
    <x v="3"/>
    <x v="1"/>
    <x v="1"/>
    <x v="5"/>
    <n v="3716"/>
    <x v="6"/>
    <x v="0"/>
  </r>
  <r>
    <n v="120"/>
    <d v="2020-07-14T00:00:00"/>
    <x v="10"/>
    <x v="0"/>
    <x v="0"/>
    <x v="5"/>
    <n v="0"/>
    <x v="7"/>
    <x v="0"/>
    <x v="1"/>
    <x v="7"/>
    <n v="0"/>
    <x v="6"/>
    <x v="0"/>
  </r>
  <r>
    <n v="121"/>
    <d v="2020-07-16T00:00:00"/>
    <x v="9"/>
    <x v="0"/>
    <x v="1"/>
    <x v="4"/>
    <n v="0"/>
    <x v="1"/>
    <x v="0"/>
    <x v="2"/>
    <x v="5"/>
    <n v="0"/>
    <x v="6"/>
    <x v="0"/>
  </r>
  <r>
    <n v="122"/>
    <d v="2020-07-18T00:00:00"/>
    <x v="5"/>
    <x v="0"/>
    <x v="4"/>
    <x v="2"/>
    <n v="0"/>
    <x v="0"/>
    <x v="3"/>
    <x v="2"/>
    <x v="5"/>
    <n v="532"/>
    <x v="6"/>
    <x v="0"/>
  </r>
  <r>
    <n v="123"/>
    <d v="2020-07-19T00:00:00"/>
    <x v="7"/>
    <x v="0"/>
    <x v="0"/>
    <x v="7"/>
    <n v="0"/>
    <x v="1"/>
    <x v="0"/>
    <x v="2"/>
    <x v="0"/>
    <n v="0"/>
    <x v="6"/>
    <x v="0"/>
  </r>
  <r>
    <n v="124"/>
    <d v="2020-07-22T00:00:00"/>
    <x v="11"/>
    <x v="0"/>
    <x v="0"/>
    <x v="4"/>
    <n v="0"/>
    <x v="1"/>
    <x v="0"/>
    <x v="1"/>
    <x v="1"/>
    <n v="0"/>
    <x v="6"/>
    <x v="0"/>
  </r>
  <r>
    <n v="125"/>
    <d v="2020-07-26T00:00:00"/>
    <x v="1"/>
    <x v="0"/>
    <x v="2"/>
    <x v="7"/>
    <n v="5"/>
    <x v="6"/>
    <x v="1"/>
    <x v="2"/>
    <x v="8"/>
    <n v="4281"/>
    <x v="6"/>
    <x v="0"/>
  </r>
  <r>
    <n v="126"/>
    <d v="2020-07-27T00:00:00"/>
    <x v="9"/>
    <x v="0"/>
    <x v="3"/>
    <x v="0"/>
    <n v="0"/>
    <x v="7"/>
    <x v="3"/>
    <x v="1"/>
    <x v="8"/>
    <n v="4455"/>
    <x v="6"/>
    <x v="0"/>
  </r>
  <r>
    <n v="127"/>
    <d v="2020-07-28T00:00:00"/>
    <x v="9"/>
    <x v="0"/>
    <x v="1"/>
    <x v="7"/>
    <n v="0"/>
    <x v="4"/>
    <x v="3"/>
    <x v="2"/>
    <x v="4"/>
    <n v="4444"/>
    <x v="6"/>
    <x v="0"/>
  </r>
  <r>
    <n v="128"/>
    <d v="2020-07-28T00:00:00"/>
    <x v="1"/>
    <x v="0"/>
    <x v="4"/>
    <x v="7"/>
    <n v="2"/>
    <x v="4"/>
    <x v="1"/>
    <x v="2"/>
    <x v="3"/>
    <n v="2777"/>
    <x v="6"/>
    <x v="0"/>
  </r>
  <r>
    <n v="129"/>
    <d v="2020-07-30T00:00:00"/>
    <x v="10"/>
    <x v="0"/>
    <x v="0"/>
    <x v="4"/>
    <n v="3"/>
    <x v="8"/>
    <x v="1"/>
    <x v="2"/>
    <x v="6"/>
    <n v="4940"/>
    <x v="6"/>
    <x v="0"/>
  </r>
  <r>
    <n v="130"/>
    <d v="2020-07-30T00:00:00"/>
    <x v="1"/>
    <x v="1"/>
    <x v="4"/>
    <x v="3"/>
    <n v="0"/>
    <x v="3"/>
    <x v="0"/>
    <x v="2"/>
    <x v="6"/>
    <n v="0"/>
    <x v="6"/>
    <x v="0"/>
  </r>
  <r>
    <n v="131"/>
    <d v="2020-08-01T00:00:00"/>
    <x v="4"/>
    <x v="0"/>
    <x v="4"/>
    <x v="5"/>
    <n v="0"/>
    <x v="5"/>
    <x v="0"/>
    <x v="0"/>
    <x v="2"/>
    <n v="0"/>
    <x v="7"/>
    <x v="0"/>
  </r>
  <r>
    <n v="132"/>
    <d v="2020-08-03T00:00:00"/>
    <x v="0"/>
    <x v="0"/>
    <x v="3"/>
    <x v="8"/>
    <n v="0"/>
    <x v="8"/>
    <x v="3"/>
    <x v="1"/>
    <x v="0"/>
    <n v="2521"/>
    <x v="7"/>
    <x v="0"/>
  </r>
  <r>
    <n v="133"/>
    <d v="2020-08-04T00:00:00"/>
    <x v="7"/>
    <x v="0"/>
    <x v="2"/>
    <x v="3"/>
    <n v="0"/>
    <x v="2"/>
    <x v="3"/>
    <x v="1"/>
    <x v="5"/>
    <n v="1430"/>
    <x v="7"/>
    <x v="0"/>
  </r>
  <r>
    <n v="134"/>
    <d v="2020-08-07T00:00:00"/>
    <x v="11"/>
    <x v="0"/>
    <x v="0"/>
    <x v="7"/>
    <n v="5"/>
    <x v="0"/>
    <x v="1"/>
    <x v="0"/>
    <x v="1"/>
    <n v="1505"/>
    <x v="7"/>
    <x v="0"/>
  </r>
  <r>
    <n v="135"/>
    <d v="2020-08-09T00:00:00"/>
    <x v="5"/>
    <x v="0"/>
    <x v="4"/>
    <x v="0"/>
    <n v="0"/>
    <x v="1"/>
    <x v="3"/>
    <x v="2"/>
    <x v="5"/>
    <n v="921"/>
    <x v="7"/>
    <x v="0"/>
  </r>
  <r>
    <n v="136"/>
    <d v="2020-08-09T00:00:00"/>
    <x v="3"/>
    <x v="0"/>
    <x v="0"/>
    <x v="7"/>
    <n v="0"/>
    <x v="2"/>
    <x v="2"/>
    <x v="0"/>
    <x v="2"/>
    <n v="206"/>
    <x v="7"/>
    <x v="0"/>
  </r>
  <r>
    <n v="137"/>
    <d v="2020-08-10T00:00:00"/>
    <x v="11"/>
    <x v="1"/>
    <x v="1"/>
    <x v="8"/>
    <n v="0"/>
    <x v="6"/>
    <x v="0"/>
    <x v="1"/>
    <x v="8"/>
    <n v="0"/>
    <x v="7"/>
    <x v="0"/>
  </r>
  <r>
    <n v="138"/>
    <d v="2020-08-11T00:00:00"/>
    <x v="3"/>
    <x v="0"/>
    <x v="4"/>
    <x v="1"/>
    <n v="0"/>
    <x v="5"/>
    <x v="0"/>
    <x v="0"/>
    <x v="7"/>
    <n v="0"/>
    <x v="7"/>
    <x v="0"/>
  </r>
  <r>
    <n v="139"/>
    <d v="2020-08-12T00:00:00"/>
    <x v="6"/>
    <x v="0"/>
    <x v="4"/>
    <x v="0"/>
    <n v="0"/>
    <x v="4"/>
    <x v="3"/>
    <x v="0"/>
    <x v="1"/>
    <n v="1835"/>
    <x v="7"/>
    <x v="0"/>
  </r>
  <r>
    <n v="140"/>
    <d v="2020-08-13T00:00:00"/>
    <x v="5"/>
    <x v="0"/>
    <x v="0"/>
    <x v="8"/>
    <n v="1"/>
    <x v="4"/>
    <x v="1"/>
    <x v="0"/>
    <x v="2"/>
    <n v="2333"/>
    <x v="7"/>
    <x v="0"/>
  </r>
  <r>
    <n v="141"/>
    <d v="2020-08-13T00:00:00"/>
    <x v="11"/>
    <x v="1"/>
    <x v="0"/>
    <x v="2"/>
    <n v="0"/>
    <x v="7"/>
    <x v="0"/>
    <x v="0"/>
    <x v="5"/>
    <n v="0"/>
    <x v="7"/>
    <x v="0"/>
  </r>
  <r>
    <n v="142"/>
    <d v="2020-08-13T00:00:00"/>
    <x v="8"/>
    <x v="0"/>
    <x v="1"/>
    <x v="6"/>
    <n v="0"/>
    <x v="2"/>
    <x v="3"/>
    <x v="0"/>
    <x v="1"/>
    <n v="1890"/>
    <x v="7"/>
    <x v="0"/>
  </r>
  <r>
    <n v="143"/>
    <d v="2020-08-15T00:00:00"/>
    <x v="7"/>
    <x v="0"/>
    <x v="3"/>
    <x v="4"/>
    <n v="0"/>
    <x v="2"/>
    <x v="3"/>
    <x v="2"/>
    <x v="3"/>
    <n v="1951"/>
    <x v="7"/>
    <x v="0"/>
  </r>
  <r>
    <n v="144"/>
    <d v="2020-08-21T00:00:00"/>
    <x v="6"/>
    <x v="0"/>
    <x v="4"/>
    <x v="3"/>
    <n v="5"/>
    <x v="7"/>
    <x v="1"/>
    <x v="2"/>
    <x v="2"/>
    <n v="3692"/>
    <x v="7"/>
    <x v="0"/>
  </r>
  <r>
    <n v="145"/>
    <d v="2020-08-21T00:00:00"/>
    <x v="11"/>
    <x v="0"/>
    <x v="4"/>
    <x v="8"/>
    <n v="0"/>
    <x v="0"/>
    <x v="2"/>
    <x v="2"/>
    <x v="2"/>
    <n v="242"/>
    <x v="7"/>
    <x v="0"/>
  </r>
  <r>
    <n v="146"/>
    <d v="2020-08-23T00:00:00"/>
    <x v="8"/>
    <x v="1"/>
    <x v="0"/>
    <x v="2"/>
    <n v="0"/>
    <x v="8"/>
    <x v="0"/>
    <x v="2"/>
    <x v="0"/>
    <n v="0"/>
    <x v="7"/>
    <x v="0"/>
  </r>
  <r>
    <n v="147"/>
    <d v="2020-08-25T00:00:00"/>
    <x v="3"/>
    <x v="0"/>
    <x v="4"/>
    <x v="8"/>
    <n v="0"/>
    <x v="7"/>
    <x v="0"/>
    <x v="1"/>
    <x v="2"/>
    <n v="0"/>
    <x v="7"/>
    <x v="0"/>
  </r>
  <r>
    <n v="148"/>
    <d v="2020-08-26T00:00:00"/>
    <x v="10"/>
    <x v="0"/>
    <x v="1"/>
    <x v="8"/>
    <n v="0"/>
    <x v="5"/>
    <x v="3"/>
    <x v="1"/>
    <x v="6"/>
    <n v="845"/>
    <x v="7"/>
    <x v="0"/>
  </r>
  <r>
    <n v="149"/>
    <d v="2020-08-27T00:00:00"/>
    <x v="2"/>
    <x v="0"/>
    <x v="4"/>
    <x v="6"/>
    <n v="0"/>
    <x v="8"/>
    <x v="2"/>
    <x v="1"/>
    <x v="2"/>
    <n v="395"/>
    <x v="7"/>
    <x v="0"/>
  </r>
  <r>
    <n v="150"/>
    <d v="2020-08-27T00:00:00"/>
    <x v="8"/>
    <x v="1"/>
    <x v="2"/>
    <x v="4"/>
    <n v="0"/>
    <x v="4"/>
    <x v="2"/>
    <x v="0"/>
    <x v="5"/>
    <n v="88"/>
    <x v="7"/>
    <x v="0"/>
  </r>
  <r>
    <n v="151"/>
    <d v="2020-08-30T00:00:00"/>
    <x v="3"/>
    <x v="0"/>
    <x v="4"/>
    <x v="2"/>
    <n v="0"/>
    <x v="1"/>
    <x v="0"/>
    <x v="0"/>
    <x v="0"/>
    <n v="0"/>
    <x v="7"/>
    <x v="0"/>
  </r>
  <r>
    <n v="152"/>
    <d v="2020-08-31T00:00:00"/>
    <x v="8"/>
    <x v="1"/>
    <x v="0"/>
    <x v="8"/>
    <n v="2.5"/>
    <x v="3"/>
    <x v="1"/>
    <x v="2"/>
    <x v="7"/>
    <n v="3488"/>
    <x v="7"/>
    <x v="0"/>
  </r>
  <r>
    <n v="153"/>
    <d v="2020-09-05T00:00:00"/>
    <x v="1"/>
    <x v="1"/>
    <x v="1"/>
    <x v="2"/>
    <n v="0"/>
    <x v="6"/>
    <x v="2"/>
    <x v="1"/>
    <x v="2"/>
    <n v="351"/>
    <x v="8"/>
    <x v="0"/>
  </r>
  <r>
    <n v="154"/>
    <d v="2020-09-06T00:00:00"/>
    <x v="6"/>
    <x v="0"/>
    <x v="1"/>
    <x v="6"/>
    <n v="0"/>
    <x v="1"/>
    <x v="2"/>
    <x v="2"/>
    <x v="1"/>
    <n v="430"/>
    <x v="8"/>
    <x v="0"/>
  </r>
  <r>
    <n v="155"/>
    <d v="2020-09-07T00:00:00"/>
    <x v="10"/>
    <x v="0"/>
    <x v="0"/>
    <x v="3"/>
    <n v="0"/>
    <x v="8"/>
    <x v="3"/>
    <x v="1"/>
    <x v="5"/>
    <n v="4871"/>
    <x v="8"/>
    <x v="0"/>
  </r>
  <r>
    <n v="156"/>
    <d v="2020-09-11T00:00:00"/>
    <x v="4"/>
    <x v="0"/>
    <x v="1"/>
    <x v="6"/>
    <n v="1.5"/>
    <x v="8"/>
    <x v="1"/>
    <x v="2"/>
    <x v="3"/>
    <n v="1230"/>
    <x v="8"/>
    <x v="0"/>
  </r>
  <r>
    <n v="157"/>
    <d v="2020-09-13T00:00:00"/>
    <x v="9"/>
    <x v="0"/>
    <x v="2"/>
    <x v="6"/>
    <n v="0"/>
    <x v="3"/>
    <x v="0"/>
    <x v="2"/>
    <x v="8"/>
    <n v="0"/>
    <x v="8"/>
    <x v="0"/>
  </r>
  <r>
    <n v="158"/>
    <d v="2020-09-14T00:00:00"/>
    <x v="2"/>
    <x v="0"/>
    <x v="2"/>
    <x v="2"/>
    <n v="0"/>
    <x v="7"/>
    <x v="3"/>
    <x v="2"/>
    <x v="1"/>
    <n v="1136"/>
    <x v="8"/>
    <x v="0"/>
  </r>
  <r>
    <n v="159"/>
    <d v="2020-09-16T00:00:00"/>
    <x v="5"/>
    <x v="1"/>
    <x v="0"/>
    <x v="4"/>
    <n v="0"/>
    <x v="6"/>
    <x v="3"/>
    <x v="1"/>
    <x v="1"/>
    <n v="1819"/>
    <x v="8"/>
    <x v="0"/>
  </r>
  <r>
    <n v="160"/>
    <d v="2020-09-22T00:00:00"/>
    <x v="5"/>
    <x v="0"/>
    <x v="1"/>
    <x v="4"/>
    <n v="2.5"/>
    <x v="2"/>
    <x v="1"/>
    <x v="2"/>
    <x v="7"/>
    <n v="709"/>
    <x v="8"/>
    <x v="0"/>
  </r>
  <r>
    <n v="161"/>
    <d v="2020-09-23T00:00:00"/>
    <x v="3"/>
    <x v="0"/>
    <x v="0"/>
    <x v="6"/>
    <n v="0"/>
    <x v="5"/>
    <x v="2"/>
    <x v="0"/>
    <x v="7"/>
    <n v="366"/>
    <x v="8"/>
    <x v="0"/>
  </r>
  <r>
    <n v="162"/>
    <d v="2020-09-25T00:00:00"/>
    <x v="5"/>
    <x v="0"/>
    <x v="2"/>
    <x v="1"/>
    <n v="0"/>
    <x v="0"/>
    <x v="2"/>
    <x v="2"/>
    <x v="2"/>
    <n v="133"/>
    <x v="8"/>
    <x v="0"/>
  </r>
  <r>
    <n v="163"/>
    <d v="2020-09-27T00:00:00"/>
    <x v="7"/>
    <x v="0"/>
    <x v="4"/>
    <x v="4"/>
    <n v="0"/>
    <x v="3"/>
    <x v="2"/>
    <x v="0"/>
    <x v="1"/>
    <n v="470"/>
    <x v="8"/>
    <x v="0"/>
  </r>
  <r>
    <n v="164"/>
    <d v="2020-09-30T00:00:00"/>
    <x v="1"/>
    <x v="0"/>
    <x v="4"/>
    <x v="2"/>
    <n v="0"/>
    <x v="2"/>
    <x v="0"/>
    <x v="2"/>
    <x v="6"/>
    <n v="0"/>
    <x v="8"/>
    <x v="0"/>
  </r>
  <r>
    <n v="165"/>
    <d v="2020-10-04T00:00:00"/>
    <x v="5"/>
    <x v="0"/>
    <x v="0"/>
    <x v="4"/>
    <n v="1"/>
    <x v="7"/>
    <x v="1"/>
    <x v="1"/>
    <x v="3"/>
    <n v="2237"/>
    <x v="9"/>
    <x v="0"/>
  </r>
  <r>
    <n v="166"/>
    <d v="2020-10-09T00:00:00"/>
    <x v="6"/>
    <x v="0"/>
    <x v="2"/>
    <x v="0"/>
    <n v="0"/>
    <x v="5"/>
    <x v="2"/>
    <x v="1"/>
    <x v="5"/>
    <n v="58"/>
    <x v="9"/>
    <x v="0"/>
  </r>
  <r>
    <n v="167"/>
    <d v="2020-10-11T00:00:00"/>
    <x v="0"/>
    <x v="0"/>
    <x v="4"/>
    <x v="5"/>
    <n v="4.5"/>
    <x v="0"/>
    <x v="1"/>
    <x v="2"/>
    <x v="1"/>
    <n v="3299"/>
    <x v="9"/>
    <x v="0"/>
  </r>
  <r>
    <n v="168"/>
    <d v="2020-10-12T00:00:00"/>
    <x v="11"/>
    <x v="0"/>
    <x v="1"/>
    <x v="8"/>
    <n v="0"/>
    <x v="4"/>
    <x v="2"/>
    <x v="2"/>
    <x v="1"/>
    <n v="369"/>
    <x v="9"/>
    <x v="0"/>
  </r>
  <r>
    <n v="169"/>
    <d v="2020-10-12T00:00:00"/>
    <x v="0"/>
    <x v="0"/>
    <x v="4"/>
    <x v="5"/>
    <n v="0"/>
    <x v="2"/>
    <x v="2"/>
    <x v="1"/>
    <x v="3"/>
    <n v="229"/>
    <x v="9"/>
    <x v="0"/>
  </r>
  <r>
    <n v="170"/>
    <d v="2020-10-13T00:00:00"/>
    <x v="1"/>
    <x v="0"/>
    <x v="0"/>
    <x v="6"/>
    <n v="2.5"/>
    <x v="3"/>
    <x v="1"/>
    <x v="1"/>
    <x v="4"/>
    <n v="1731"/>
    <x v="9"/>
    <x v="0"/>
  </r>
  <r>
    <n v="171"/>
    <d v="2020-10-13T00:00:00"/>
    <x v="1"/>
    <x v="0"/>
    <x v="4"/>
    <x v="5"/>
    <n v="1.5"/>
    <x v="5"/>
    <x v="1"/>
    <x v="0"/>
    <x v="1"/>
    <n v="4823"/>
    <x v="9"/>
    <x v="0"/>
  </r>
  <r>
    <n v="172"/>
    <d v="2020-10-14T00:00:00"/>
    <x v="10"/>
    <x v="0"/>
    <x v="2"/>
    <x v="4"/>
    <n v="0"/>
    <x v="2"/>
    <x v="2"/>
    <x v="2"/>
    <x v="1"/>
    <n v="57"/>
    <x v="9"/>
    <x v="0"/>
  </r>
  <r>
    <n v="173"/>
    <d v="2020-10-16T00:00:00"/>
    <x v="4"/>
    <x v="0"/>
    <x v="2"/>
    <x v="0"/>
    <n v="0"/>
    <x v="0"/>
    <x v="2"/>
    <x v="1"/>
    <x v="6"/>
    <n v="466"/>
    <x v="9"/>
    <x v="0"/>
  </r>
  <r>
    <n v="174"/>
    <d v="2020-10-16T00:00:00"/>
    <x v="1"/>
    <x v="0"/>
    <x v="0"/>
    <x v="8"/>
    <n v="0"/>
    <x v="4"/>
    <x v="0"/>
    <x v="2"/>
    <x v="2"/>
    <n v="0"/>
    <x v="9"/>
    <x v="0"/>
  </r>
  <r>
    <n v="175"/>
    <d v="2020-10-17T00:00:00"/>
    <x v="3"/>
    <x v="0"/>
    <x v="2"/>
    <x v="1"/>
    <n v="0"/>
    <x v="4"/>
    <x v="0"/>
    <x v="2"/>
    <x v="0"/>
    <n v="0"/>
    <x v="9"/>
    <x v="0"/>
  </r>
  <r>
    <n v="176"/>
    <d v="2020-10-19T00:00:00"/>
    <x v="2"/>
    <x v="0"/>
    <x v="2"/>
    <x v="3"/>
    <n v="0"/>
    <x v="6"/>
    <x v="0"/>
    <x v="1"/>
    <x v="3"/>
    <n v="0"/>
    <x v="9"/>
    <x v="0"/>
  </r>
  <r>
    <n v="177"/>
    <d v="2020-10-22T00:00:00"/>
    <x v="8"/>
    <x v="0"/>
    <x v="1"/>
    <x v="8"/>
    <n v="2"/>
    <x v="0"/>
    <x v="1"/>
    <x v="2"/>
    <x v="1"/>
    <n v="3549"/>
    <x v="9"/>
    <x v="0"/>
  </r>
  <r>
    <n v="178"/>
    <d v="2020-10-24T00:00:00"/>
    <x v="8"/>
    <x v="0"/>
    <x v="2"/>
    <x v="7"/>
    <n v="0"/>
    <x v="1"/>
    <x v="3"/>
    <x v="1"/>
    <x v="1"/>
    <n v="2476"/>
    <x v="9"/>
    <x v="0"/>
  </r>
  <r>
    <n v="179"/>
    <d v="2020-10-26T00:00:00"/>
    <x v="9"/>
    <x v="0"/>
    <x v="1"/>
    <x v="0"/>
    <n v="4.5"/>
    <x v="6"/>
    <x v="1"/>
    <x v="2"/>
    <x v="5"/>
    <n v="1935"/>
    <x v="9"/>
    <x v="0"/>
  </r>
  <r>
    <n v="180"/>
    <d v="2020-10-27T00:00:00"/>
    <x v="4"/>
    <x v="0"/>
    <x v="2"/>
    <x v="7"/>
    <n v="0"/>
    <x v="3"/>
    <x v="2"/>
    <x v="2"/>
    <x v="7"/>
    <n v="143"/>
    <x v="9"/>
    <x v="0"/>
  </r>
  <r>
    <n v="181"/>
    <d v="2020-10-27T00:00:00"/>
    <x v="0"/>
    <x v="0"/>
    <x v="0"/>
    <x v="4"/>
    <n v="3"/>
    <x v="6"/>
    <x v="1"/>
    <x v="0"/>
    <x v="2"/>
    <n v="2397"/>
    <x v="9"/>
    <x v="0"/>
  </r>
  <r>
    <n v="182"/>
    <d v="2020-10-30T00:00:00"/>
    <x v="8"/>
    <x v="0"/>
    <x v="4"/>
    <x v="3"/>
    <n v="1.5"/>
    <x v="6"/>
    <x v="1"/>
    <x v="0"/>
    <x v="1"/>
    <n v="4618"/>
    <x v="9"/>
    <x v="0"/>
  </r>
  <r>
    <n v="183"/>
    <d v="2020-11-07T00:00:00"/>
    <x v="0"/>
    <x v="0"/>
    <x v="4"/>
    <x v="0"/>
    <n v="0"/>
    <x v="2"/>
    <x v="3"/>
    <x v="1"/>
    <x v="7"/>
    <n v="3849"/>
    <x v="10"/>
    <x v="0"/>
  </r>
  <r>
    <n v="184"/>
    <d v="2020-11-11T00:00:00"/>
    <x v="8"/>
    <x v="0"/>
    <x v="4"/>
    <x v="6"/>
    <n v="0"/>
    <x v="8"/>
    <x v="3"/>
    <x v="0"/>
    <x v="7"/>
    <n v="588"/>
    <x v="10"/>
    <x v="0"/>
  </r>
  <r>
    <n v="185"/>
    <d v="2020-11-12T00:00:00"/>
    <x v="6"/>
    <x v="0"/>
    <x v="2"/>
    <x v="2"/>
    <n v="0"/>
    <x v="6"/>
    <x v="0"/>
    <x v="0"/>
    <x v="7"/>
    <n v="0"/>
    <x v="10"/>
    <x v="0"/>
  </r>
  <r>
    <n v="186"/>
    <d v="2020-11-15T00:00:00"/>
    <x v="11"/>
    <x v="0"/>
    <x v="4"/>
    <x v="7"/>
    <n v="4.5"/>
    <x v="6"/>
    <x v="1"/>
    <x v="2"/>
    <x v="1"/>
    <n v="4411"/>
    <x v="10"/>
    <x v="0"/>
  </r>
  <r>
    <n v="187"/>
    <d v="2020-11-16T00:00:00"/>
    <x v="4"/>
    <x v="0"/>
    <x v="4"/>
    <x v="8"/>
    <n v="0"/>
    <x v="6"/>
    <x v="0"/>
    <x v="1"/>
    <x v="0"/>
    <n v="0"/>
    <x v="10"/>
    <x v="0"/>
  </r>
  <r>
    <n v="188"/>
    <d v="2020-11-18T00:00:00"/>
    <x v="0"/>
    <x v="0"/>
    <x v="2"/>
    <x v="1"/>
    <n v="0"/>
    <x v="4"/>
    <x v="0"/>
    <x v="1"/>
    <x v="5"/>
    <n v="0"/>
    <x v="10"/>
    <x v="0"/>
  </r>
  <r>
    <n v="189"/>
    <d v="2020-11-19T00:00:00"/>
    <x v="3"/>
    <x v="0"/>
    <x v="2"/>
    <x v="6"/>
    <n v="0"/>
    <x v="6"/>
    <x v="2"/>
    <x v="0"/>
    <x v="6"/>
    <n v="282"/>
    <x v="10"/>
    <x v="0"/>
  </r>
  <r>
    <n v="190"/>
    <d v="2020-11-20T00:00:00"/>
    <x v="7"/>
    <x v="1"/>
    <x v="2"/>
    <x v="0"/>
    <n v="0"/>
    <x v="4"/>
    <x v="2"/>
    <x v="2"/>
    <x v="7"/>
    <n v="244"/>
    <x v="10"/>
    <x v="0"/>
  </r>
  <r>
    <n v="191"/>
    <d v="2020-11-22T00:00:00"/>
    <x v="0"/>
    <x v="0"/>
    <x v="4"/>
    <x v="8"/>
    <n v="0"/>
    <x v="3"/>
    <x v="2"/>
    <x v="1"/>
    <x v="0"/>
    <n v="278"/>
    <x v="10"/>
    <x v="0"/>
  </r>
  <r>
    <n v="192"/>
    <d v="2020-11-22T00:00:00"/>
    <x v="10"/>
    <x v="1"/>
    <x v="2"/>
    <x v="3"/>
    <n v="5"/>
    <x v="4"/>
    <x v="1"/>
    <x v="1"/>
    <x v="1"/>
    <n v="4879"/>
    <x v="10"/>
    <x v="0"/>
  </r>
  <r>
    <n v="193"/>
    <d v="2020-11-24T00:00:00"/>
    <x v="7"/>
    <x v="1"/>
    <x v="0"/>
    <x v="4"/>
    <n v="0"/>
    <x v="8"/>
    <x v="2"/>
    <x v="2"/>
    <x v="5"/>
    <n v="414"/>
    <x v="10"/>
    <x v="0"/>
  </r>
  <r>
    <n v="194"/>
    <d v="2020-11-25T00:00:00"/>
    <x v="10"/>
    <x v="1"/>
    <x v="2"/>
    <x v="0"/>
    <n v="5"/>
    <x v="7"/>
    <x v="1"/>
    <x v="1"/>
    <x v="6"/>
    <n v="2569"/>
    <x v="10"/>
    <x v="0"/>
  </r>
  <r>
    <n v="195"/>
    <d v="2020-11-29T00:00:00"/>
    <x v="10"/>
    <x v="0"/>
    <x v="4"/>
    <x v="2"/>
    <n v="0"/>
    <x v="7"/>
    <x v="0"/>
    <x v="1"/>
    <x v="3"/>
    <n v="0"/>
    <x v="10"/>
    <x v="0"/>
  </r>
  <r>
    <n v="196"/>
    <d v="2020-11-30T00:00:00"/>
    <x v="9"/>
    <x v="0"/>
    <x v="1"/>
    <x v="1"/>
    <n v="0"/>
    <x v="5"/>
    <x v="3"/>
    <x v="1"/>
    <x v="0"/>
    <n v="4685"/>
    <x v="10"/>
    <x v="0"/>
  </r>
  <r>
    <n v="197"/>
    <d v="2020-11-30T00:00:00"/>
    <x v="1"/>
    <x v="0"/>
    <x v="2"/>
    <x v="0"/>
    <n v="0"/>
    <x v="0"/>
    <x v="3"/>
    <x v="1"/>
    <x v="8"/>
    <n v="1222"/>
    <x v="10"/>
    <x v="0"/>
  </r>
  <r>
    <n v="198"/>
    <d v="2020-12-01T00:00:00"/>
    <x v="3"/>
    <x v="0"/>
    <x v="0"/>
    <x v="8"/>
    <n v="3.5"/>
    <x v="3"/>
    <x v="1"/>
    <x v="2"/>
    <x v="6"/>
    <n v="1806"/>
    <x v="11"/>
    <x v="0"/>
  </r>
  <r>
    <n v="199"/>
    <d v="2020-12-03T00:00:00"/>
    <x v="9"/>
    <x v="0"/>
    <x v="2"/>
    <x v="7"/>
    <n v="0"/>
    <x v="4"/>
    <x v="0"/>
    <x v="1"/>
    <x v="4"/>
    <n v="0"/>
    <x v="11"/>
    <x v="0"/>
  </r>
  <r>
    <n v="200"/>
    <d v="2020-12-04T00:00:00"/>
    <x v="6"/>
    <x v="1"/>
    <x v="4"/>
    <x v="0"/>
    <n v="1"/>
    <x v="2"/>
    <x v="1"/>
    <x v="0"/>
    <x v="5"/>
    <n v="2877"/>
    <x v="11"/>
    <x v="0"/>
  </r>
  <r>
    <n v="201"/>
    <d v="2020-12-04T00:00:00"/>
    <x v="1"/>
    <x v="0"/>
    <x v="2"/>
    <x v="2"/>
    <n v="0"/>
    <x v="3"/>
    <x v="3"/>
    <x v="0"/>
    <x v="5"/>
    <n v="1710"/>
    <x v="11"/>
    <x v="0"/>
  </r>
  <r>
    <n v="202"/>
    <d v="2020-12-04T00:00:00"/>
    <x v="8"/>
    <x v="0"/>
    <x v="1"/>
    <x v="6"/>
    <n v="0"/>
    <x v="6"/>
    <x v="0"/>
    <x v="0"/>
    <x v="1"/>
    <n v="0"/>
    <x v="11"/>
    <x v="0"/>
  </r>
  <r>
    <n v="203"/>
    <d v="2020-12-06T00:00:00"/>
    <x v="5"/>
    <x v="0"/>
    <x v="3"/>
    <x v="3"/>
    <n v="2.5"/>
    <x v="4"/>
    <x v="1"/>
    <x v="0"/>
    <x v="6"/>
    <n v="903"/>
    <x v="11"/>
    <x v="0"/>
  </r>
  <r>
    <n v="204"/>
    <d v="2020-12-08T00:00:00"/>
    <x v="2"/>
    <x v="0"/>
    <x v="2"/>
    <x v="0"/>
    <n v="0"/>
    <x v="5"/>
    <x v="2"/>
    <x v="0"/>
    <x v="0"/>
    <n v="115"/>
    <x v="11"/>
    <x v="0"/>
  </r>
  <r>
    <n v="205"/>
    <d v="2020-12-08T00:00:00"/>
    <x v="5"/>
    <x v="0"/>
    <x v="4"/>
    <x v="7"/>
    <n v="0"/>
    <x v="2"/>
    <x v="3"/>
    <x v="1"/>
    <x v="6"/>
    <n v="1168"/>
    <x v="11"/>
    <x v="0"/>
  </r>
  <r>
    <n v="206"/>
    <d v="2020-12-09T00:00:00"/>
    <x v="7"/>
    <x v="0"/>
    <x v="2"/>
    <x v="7"/>
    <n v="5"/>
    <x v="6"/>
    <x v="1"/>
    <x v="2"/>
    <x v="8"/>
    <n v="2479"/>
    <x v="11"/>
    <x v="0"/>
  </r>
  <r>
    <n v="207"/>
    <d v="2020-12-10T00:00:00"/>
    <x v="0"/>
    <x v="0"/>
    <x v="0"/>
    <x v="6"/>
    <n v="0"/>
    <x v="3"/>
    <x v="0"/>
    <x v="1"/>
    <x v="0"/>
    <n v="0"/>
    <x v="11"/>
    <x v="0"/>
  </r>
  <r>
    <n v="208"/>
    <d v="2020-12-11T00:00:00"/>
    <x v="9"/>
    <x v="0"/>
    <x v="0"/>
    <x v="8"/>
    <n v="0"/>
    <x v="5"/>
    <x v="2"/>
    <x v="0"/>
    <x v="6"/>
    <n v="361"/>
    <x v="11"/>
    <x v="0"/>
  </r>
  <r>
    <n v="209"/>
    <d v="2020-12-12T00:00:00"/>
    <x v="10"/>
    <x v="0"/>
    <x v="1"/>
    <x v="7"/>
    <n v="0"/>
    <x v="0"/>
    <x v="3"/>
    <x v="0"/>
    <x v="5"/>
    <n v="4176"/>
    <x v="11"/>
    <x v="0"/>
  </r>
  <r>
    <n v="210"/>
    <d v="2020-12-16T00:00:00"/>
    <x v="5"/>
    <x v="0"/>
    <x v="2"/>
    <x v="0"/>
    <n v="3"/>
    <x v="7"/>
    <x v="1"/>
    <x v="0"/>
    <x v="3"/>
    <n v="3846"/>
    <x v="11"/>
    <x v="0"/>
  </r>
  <r>
    <n v="211"/>
    <d v="2020-12-18T00:00:00"/>
    <x v="10"/>
    <x v="0"/>
    <x v="0"/>
    <x v="5"/>
    <n v="0"/>
    <x v="1"/>
    <x v="3"/>
    <x v="0"/>
    <x v="8"/>
    <n v="4288"/>
    <x v="11"/>
    <x v="0"/>
  </r>
  <r>
    <n v="212"/>
    <d v="2020-12-23T00:00:00"/>
    <x v="7"/>
    <x v="0"/>
    <x v="2"/>
    <x v="6"/>
    <n v="2.5"/>
    <x v="8"/>
    <x v="1"/>
    <x v="2"/>
    <x v="3"/>
    <n v="3734"/>
    <x v="11"/>
    <x v="0"/>
  </r>
  <r>
    <n v="213"/>
    <d v="2020-12-23T00:00:00"/>
    <x v="0"/>
    <x v="0"/>
    <x v="4"/>
    <x v="3"/>
    <n v="0"/>
    <x v="3"/>
    <x v="0"/>
    <x v="0"/>
    <x v="0"/>
    <n v="0"/>
    <x v="11"/>
    <x v="0"/>
  </r>
  <r>
    <n v="214"/>
    <d v="2020-12-24T00:00:00"/>
    <x v="8"/>
    <x v="0"/>
    <x v="0"/>
    <x v="6"/>
    <n v="0"/>
    <x v="8"/>
    <x v="0"/>
    <x v="2"/>
    <x v="7"/>
    <n v="0"/>
    <x v="11"/>
    <x v="0"/>
  </r>
  <r>
    <n v="215"/>
    <d v="2020-12-25T00:00:00"/>
    <x v="7"/>
    <x v="0"/>
    <x v="1"/>
    <x v="2"/>
    <n v="2.5"/>
    <x v="8"/>
    <x v="1"/>
    <x v="0"/>
    <x v="1"/>
    <n v="1486"/>
    <x v="11"/>
    <x v="0"/>
  </r>
  <r>
    <n v="216"/>
    <d v="2020-12-25T00:00:00"/>
    <x v="3"/>
    <x v="0"/>
    <x v="1"/>
    <x v="6"/>
    <n v="0"/>
    <x v="1"/>
    <x v="0"/>
    <x v="2"/>
    <x v="3"/>
    <n v="0"/>
    <x v="11"/>
    <x v="0"/>
  </r>
  <r>
    <n v="217"/>
    <d v="2020-12-27T00:00:00"/>
    <x v="2"/>
    <x v="0"/>
    <x v="1"/>
    <x v="3"/>
    <n v="0"/>
    <x v="2"/>
    <x v="3"/>
    <x v="1"/>
    <x v="3"/>
    <n v="733"/>
    <x v="11"/>
    <x v="0"/>
  </r>
  <r>
    <n v="218"/>
    <d v="2020-12-27T00:00:00"/>
    <x v="3"/>
    <x v="0"/>
    <x v="0"/>
    <x v="0"/>
    <n v="0"/>
    <x v="8"/>
    <x v="2"/>
    <x v="1"/>
    <x v="3"/>
    <n v="265"/>
    <x v="11"/>
    <x v="0"/>
  </r>
  <r>
    <n v="219"/>
    <d v="2020-12-30T00:00:00"/>
    <x v="11"/>
    <x v="0"/>
    <x v="0"/>
    <x v="0"/>
    <n v="0"/>
    <x v="3"/>
    <x v="3"/>
    <x v="0"/>
    <x v="4"/>
    <n v="5000"/>
    <x v="11"/>
    <x v="0"/>
  </r>
  <r>
    <n v="220"/>
    <d v="2020-12-30T00:00:00"/>
    <x v="11"/>
    <x v="0"/>
    <x v="4"/>
    <x v="6"/>
    <n v="0"/>
    <x v="7"/>
    <x v="3"/>
    <x v="1"/>
    <x v="7"/>
    <n v="4366"/>
    <x v="11"/>
    <x v="0"/>
  </r>
  <r>
    <n v="221"/>
    <d v="2020-12-31T00:00:00"/>
    <x v="10"/>
    <x v="0"/>
    <x v="3"/>
    <x v="0"/>
    <n v="2"/>
    <x v="5"/>
    <x v="1"/>
    <x v="1"/>
    <x v="7"/>
    <n v="3060"/>
    <x v="11"/>
    <x v="0"/>
  </r>
  <r>
    <n v="222"/>
    <d v="2021-01-03T00:00:00"/>
    <x v="6"/>
    <x v="1"/>
    <x v="4"/>
    <x v="5"/>
    <n v="0"/>
    <x v="1"/>
    <x v="3"/>
    <x v="0"/>
    <x v="7"/>
    <n v="503"/>
    <x v="0"/>
    <x v="1"/>
  </r>
  <r>
    <n v="223"/>
    <d v="2021-01-03T00:00:00"/>
    <x v="10"/>
    <x v="1"/>
    <x v="4"/>
    <x v="5"/>
    <n v="0"/>
    <x v="2"/>
    <x v="3"/>
    <x v="0"/>
    <x v="0"/>
    <n v="3846"/>
    <x v="0"/>
    <x v="1"/>
  </r>
  <r>
    <n v="224"/>
    <d v="2021-01-06T00:00:00"/>
    <x v="6"/>
    <x v="0"/>
    <x v="0"/>
    <x v="1"/>
    <n v="0"/>
    <x v="5"/>
    <x v="3"/>
    <x v="1"/>
    <x v="1"/>
    <n v="1690"/>
    <x v="0"/>
    <x v="1"/>
  </r>
  <r>
    <n v="225"/>
    <d v="2021-01-07T00:00:00"/>
    <x v="6"/>
    <x v="0"/>
    <x v="3"/>
    <x v="2"/>
    <n v="0"/>
    <x v="0"/>
    <x v="3"/>
    <x v="0"/>
    <x v="7"/>
    <n v="1010"/>
    <x v="0"/>
    <x v="1"/>
  </r>
  <r>
    <n v="226"/>
    <d v="2021-01-08T00:00:00"/>
    <x v="11"/>
    <x v="0"/>
    <x v="0"/>
    <x v="3"/>
    <n v="0"/>
    <x v="5"/>
    <x v="0"/>
    <x v="0"/>
    <x v="0"/>
    <n v="0"/>
    <x v="0"/>
    <x v="1"/>
  </r>
  <r>
    <n v="227"/>
    <d v="2021-01-08T00:00:00"/>
    <x v="7"/>
    <x v="0"/>
    <x v="0"/>
    <x v="8"/>
    <n v="0"/>
    <x v="8"/>
    <x v="0"/>
    <x v="2"/>
    <x v="5"/>
    <n v="0"/>
    <x v="0"/>
    <x v="1"/>
  </r>
  <r>
    <n v="228"/>
    <d v="2021-01-08T00:00:00"/>
    <x v="3"/>
    <x v="0"/>
    <x v="4"/>
    <x v="4"/>
    <n v="4"/>
    <x v="6"/>
    <x v="1"/>
    <x v="0"/>
    <x v="2"/>
    <n v="1190"/>
    <x v="0"/>
    <x v="1"/>
  </r>
  <r>
    <n v="229"/>
    <d v="2021-01-11T00:00:00"/>
    <x v="11"/>
    <x v="0"/>
    <x v="4"/>
    <x v="6"/>
    <n v="0"/>
    <x v="5"/>
    <x v="3"/>
    <x v="1"/>
    <x v="2"/>
    <n v="2459"/>
    <x v="0"/>
    <x v="1"/>
  </r>
  <r>
    <n v="230"/>
    <d v="2021-01-13T00:00:00"/>
    <x v="1"/>
    <x v="0"/>
    <x v="2"/>
    <x v="3"/>
    <n v="1.5"/>
    <x v="5"/>
    <x v="1"/>
    <x v="2"/>
    <x v="6"/>
    <n v="995"/>
    <x v="0"/>
    <x v="1"/>
  </r>
  <r>
    <n v="231"/>
    <d v="2021-01-16T00:00:00"/>
    <x v="7"/>
    <x v="0"/>
    <x v="0"/>
    <x v="5"/>
    <n v="2"/>
    <x v="1"/>
    <x v="1"/>
    <x v="1"/>
    <x v="2"/>
    <n v="2593"/>
    <x v="0"/>
    <x v="1"/>
  </r>
  <r>
    <n v="232"/>
    <d v="2021-01-19T00:00:00"/>
    <x v="11"/>
    <x v="0"/>
    <x v="3"/>
    <x v="4"/>
    <n v="0"/>
    <x v="5"/>
    <x v="0"/>
    <x v="1"/>
    <x v="2"/>
    <n v="0"/>
    <x v="0"/>
    <x v="1"/>
  </r>
  <r>
    <n v="233"/>
    <d v="2021-01-23T00:00:00"/>
    <x v="4"/>
    <x v="0"/>
    <x v="2"/>
    <x v="3"/>
    <n v="0"/>
    <x v="0"/>
    <x v="2"/>
    <x v="0"/>
    <x v="0"/>
    <n v="8"/>
    <x v="0"/>
    <x v="1"/>
  </r>
  <r>
    <n v="234"/>
    <d v="2021-01-25T00:00:00"/>
    <x v="9"/>
    <x v="0"/>
    <x v="2"/>
    <x v="1"/>
    <n v="0"/>
    <x v="0"/>
    <x v="3"/>
    <x v="1"/>
    <x v="8"/>
    <n v="4259"/>
    <x v="0"/>
    <x v="1"/>
  </r>
  <r>
    <n v="235"/>
    <d v="2021-01-26T00:00:00"/>
    <x v="11"/>
    <x v="0"/>
    <x v="1"/>
    <x v="0"/>
    <n v="0"/>
    <x v="6"/>
    <x v="3"/>
    <x v="2"/>
    <x v="2"/>
    <n v="2582"/>
    <x v="0"/>
    <x v="1"/>
  </r>
  <r>
    <n v="236"/>
    <d v="2021-01-27T00:00:00"/>
    <x v="3"/>
    <x v="0"/>
    <x v="0"/>
    <x v="6"/>
    <n v="0"/>
    <x v="0"/>
    <x v="2"/>
    <x v="2"/>
    <x v="6"/>
    <n v="66"/>
    <x v="0"/>
    <x v="1"/>
  </r>
  <r>
    <n v="237"/>
    <d v="2021-02-02T00:00:00"/>
    <x v="1"/>
    <x v="0"/>
    <x v="0"/>
    <x v="6"/>
    <n v="0.5"/>
    <x v="8"/>
    <x v="1"/>
    <x v="1"/>
    <x v="4"/>
    <n v="2437"/>
    <x v="1"/>
    <x v="1"/>
  </r>
  <r>
    <n v="238"/>
    <d v="2021-02-02T00:00:00"/>
    <x v="7"/>
    <x v="1"/>
    <x v="2"/>
    <x v="1"/>
    <n v="0"/>
    <x v="1"/>
    <x v="0"/>
    <x v="1"/>
    <x v="0"/>
    <n v="0"/>
    <x v="1"/>
    <x v="1"/>
  </r>
  <r>
    <n v="239"/>
    <d v="2021-02-03T00:00:00"/>
    <x v="6"/>
    <x v="0"/>
    <x v="2"/>
    <x v="8"/>
    <n v="0"/>
    <x v="8"/>
    <x v="3"/>
    <x v="1"/>
    <x v="0"/>
    <n v="2359"/>
    <x v="1"/>
    <x v="1"/>
  </r>
  <r>
    <n v="240"/>
    <d v="2021-02-07T00:00:00"/>
    <x v="4"/>
    <x v="0"/>
    <x v="2"/>
    <x v="0"/>
    <n v="0"/>
    <x v="3"/>
    <x v="3"/>
    <x v="2"/>
    <x v="0"/>
    <n v="653"/>
    <x v="1"/>
    <x v="1"/>
  </r>
  <r>
    <n v="241"/>
    <d v="2021-02-11T00:00:00"/>
    <x v="3"/>
    <x v="0"/>
    <x v="0"/>
    <x v="2"/>
    <n v="0"/>
    <x v="0"/>
    <x v="3"/>
    <x v="0"/>
    <x v="0"/>
    <n v="3487"/>
    <x v="1"/>
    <x v="1"/>
  </r>
  <r>
    <n v="242"/>
    <d v="2021-02-11T00:00:00"/>
    <x v="5"/>
    <x v="0"/>
    <x v="4"/>
    <x v="3"/>
    <n v="0"/>
    <x v="4"/>
    <x v="2"/>
    <x v="0"/>
    <x v="8"/>
    <n v="67"/>
    <x v="1"/>
    <x v="1"/>
  </r>
  <r>
    <n v="243"/>
    <d v="2021-02-13T00:00:00"/>
    <x v="4"/>
    <x v="0"/>
    <x v="2"/>
    <x v="5"/>
    <n v="2.5"/>
    <x v="1"/>
    <x v="1"/>
    <x v="2"/>
    <x v="6"/>
    <n v="1922"/>
    <x v="1"/>
    <x v="1"/>
  </r>
  <r>
    <n v="244"/>
    <d v="2021-02-14T00:00:00"/>
    <x v="11"/>
    <x v="0"/>
    <x v="0"/>
    <x v="6"/>
    <n v="0"/>
    <x v="7"/>
    <x v="3"/>
    <x v="2"/>
    <x v="0"/>
    <n v="4247"/>
    <x v="1"/>
    <x v="1"/>
  </r>
  <r>
    <n v="245"/>
    <d v="2021-02-15T00:00:00"/>
    <x v="5"/>
    <x v="0"/>
    <x v="2"/>
    <x v="6"/>
    <n v="0"/>
    <x v="8"/>
    <x v="0"/>
    <x v="2"/>
    <x v="1"/>
    <n v="0"/>
    <x v="1"/>
    <x v="1"/>
  </r>
  <r>
    <n v="246"/>
    <d v="2021-02-18T00:00:00"/>
    <x v="11"/>
    <x v="0"/>
    <x v="0"/>
    <x v="6"/>
    <n v="0"/>
    <x v="8"/>
    <x v="0"/>
    <x v="2"/>
    <x v="8"/>
    <n v="0"/>
    <x v="1"/>
    <x v="1"/>
  </r>
  <r>
    <n v="247"/>
    <d v="2021-02-18T00:00:00"/>
    <x v="4"/>
    <x v="1"/>
    <x v="4"/>
    <x v="8"/>
    <n v="0"/>
    <x v="5"/>
    <x v="0"/>
    <x v="2"/>
    <x v="6"/>
    <n v="0"/>
    <x v="1"/>
    <x v="1"/>
  </r>
  <r>
    <n v="248"/>
    <d v="2021-02-19T00:00:00"/>
    <x v="0"/>
    <x v="0"/>
    <x v="0"/>
    <x v="5"/>
    <n v="0"/>
    <x v="4"/>
    <x v="2"/>
    <x v="2"/>
    <x v="1"/>
    <n v="189"/>
    <x v="1"/>
    <x v="1"/>
  </r>
  <r>
    <n v="249"/>
    <d v="2021-02-21T00:00:00"/>
    <x v="0"/>
    <x v="0"/>
    <x v="0"/>
    <x v="1"/>
    <n v="0"/>
    <x v="6"/>
    <x v="0"/>
    <x v="2"/>
    <x v="7"/>
    <n v="0"/>
    <x v="1"/>
    <x v="1"/>
  </r>
  <r>
    <n v="250"/>
    <d v="2021-02-24T00:00:00"/>
    <x v="11"/>
    <x v="0"/>
    <x v="1"/>
    <x v="4"/>
    <n v="0"/>
    <x v="3"/>
    <x v="0"/>
    <x v="0"/>
    <x v="4"/>
    <n v="0"/>
    <x v="1"/>
    <x v="1"/>
  </r>
  <r>
    <n v="251"/>
    <d v="2021-02-26T00:00:00"/>
    <x v="6"/>
    <x v="0"/>
    <x v="2"/>
    <x v="8"/>
    <n v="0"/>
    <x v="7"/>
    <x v="3"/>
    <x v="1"/>
    <x v="3"/>
    <n v="2801"/>
    <x v="1"/>
    <x v="1"/>
  </r>
  <r>
    <n v="252"/>
    <d v="2021-02-28T00:00:00"/>
    <x v="7"/>
    <x v="0"/>
    <x v="2"/>
    <x v="8"/>
    <n v="0"/>
    <x v="0"/>
    <x v="0"/>
    <x v="0"/>
    <x v="4"/>
    <n v="0"/>
    <x v="1"/>
    <x v="1"/>
  </r>
  <r>
    <n v="253"/>
    <d v="2021-03-01T00:00:00"/>
    <x v="6"/>
    <x v="0"/>
    <x v="1"/>
    <x v="4"/>
    <n v="0"/>
    <x v="8"/>
    <x v="0"/>
    <x v="1"/>
    <x v="4"/>
    <n v="0"/>
    <x v="2"/>
    <x v="1"/>
  </r>
  <r>
    <n v="254"/>
    <d v="2021-03-02T00:00:00"/>
    <x v="10"/>
    <x v="0"/>
    <x v="4"/>
    <x v="7"/>
    <n v="0"/>
    <x v="6"/>
    <x v="0"/>
    <x v="0"/>
    <x v="7"/>
    <n v="0"/>
    <x v="2"/>
    <x v="1"/>
  </r>
  <r>
    <n v="255"/>
    <d v="2021-03-04T00:00:00"/>
    <x v="0"/>
    <x v="0"/>
    <x v="1"/>
    <x v="8"/>
    <n v="0"/>
    <x v="5"/>
    <x v="2"/>
    <x v="0"/>
    <x v="5"/>
    <n v="382"/>
    <x v="2"/>
    <x v="1"/>
  </r>
  <r>
    <n v="256"/>
    <d v="2021-03-05T00:00:00"/>
    <x v="7"/>
    <x v="0"/>
    <x v="4"/>
    <x v="2"/>
    <n v="1.5"/>
    <x v="5"/>
    <x v="1"/>
    <x v="0"/>
    <x v="3"/>
    <n v="1177"/>
    <x v="2"/>
    <x v="1"/>
  </r>
  <r>
    <n v="257"/>
    <d v="2021-03-05T00:00:00"/>
    <x v="6"/>
    <x v="0"/>
    <x v="2"/>
    <x v="7"/>
    <n v="0"/>
    <x v="0"/>
    <x v="2"/>
    <x v="2"/>
    <x v="7"/>
    <n v="308"/>
    <x v="2"/>
    <x v="1"/>
  </r>
  <r>
    <n v="258"/>
    <d v="2021-03-11T00:00:00"/>
    <x v="3"/>
    <x v="1"/>
    <x v="0"/>
    <x v="7"/>
    <n v="0"/>
    <x v="4"/>
    <x v="2"/>
    <x v="2"/>
    <x v="0"/>
    <n v="84"/>
    <x v="2"/>
    <x v="1"/>
  </r>
  <r>
    <n v="259"/>
    <d v="2021-03-12T00:00:00"/>
    <x v="7"/>
    <x v="0"/>
    <x v="0"/>
    <x v="8"/>
    <n v="0"/>
    <x v="6"/>
    <x v="3"/>
    <x v="2"/>
    <x v="5"/>
    <n v="501"/>
    <x v="2"/>
    <x v="1"/>
  </r>
  <r>
    <n v="260"/>
    <d v="2021-03-14T00:00:00"/>
    <x v="1"/>
    <x v="0"/>
    <x v="2"/>
    <x v="8"/>
    <n v="0"/>
    <x v="8"/>
    <x v="3"/>
    <x v="1"/>
    <x v="4"/>
    <n v="4587"/>
    <x v="2"/>
    <x v="1"/>
  </r>
  <r>
    <n v="261"/>
    <d v="2021-03-14T00:00:00"/>
    <x v="4"/>
    <x v="0"/>
    <x v="2"/>
    <x v="6"/>
    <n v="0"/>
    <x v="2"/>
    <x v="0"/>
    <x v="0"/>
    <x v="0"/>
    <n v="0"/>
    <x v="2"/>
    <x v="1"/>
  </r>
  <r>
    <n v="262"/>
    <d v="2021-03-15T00:00:00"/>
    <x v="6"/>
    <x v="0"/>
    <x v="2"/>
    <x v="1"/>
    <n v="0"/>
    <x v="8"/>
    <x v="3"/>
    <x v="2"/>
    <x v="3"/>
    <n v="3871"/>
    <x v="2"/>
    <x v="1"/>
  </r>
  <r>
    <n v="263"/>
    <d v="2021-03-17T00:00:00"/>
    <x v="10"/>
    <x v="0"/>
    <x v="4"/>
    <x v="0"/>
    <n v="1.5"/>
    <x v="3"/>
    <x v="1"/>
    <x v="0"/>
    <x v="5"/>
    <n v="4781"/>
    <x v="2"/>
    <x v="1"/>
  </r>
  <r>
    <n v="264"/>
    <d v="2021-03-17T00:00:00"/>
    <x v="5"/>
    <x v="1"/>
    <x v="2"/>
    <x v="0"/>
    <n v="5"/>
    <x v="0"/>
    <x v="1"/>
    <x v="1"/>
    <x v="5"/>
    <n v="4373"/>
    <x v="2"/>
    <x v="1"/>
  </r>
  <r>
    <n v="265"/>
    <d v="2021-03-18T00:00:00"/>
    <x v="9"/>
    <x v="0"/>
    <x v="0"/>
    <x v="8"/>
    <n v="0.5"/>
    <x v="7"/>
    <x v="1"/>
    <x v="0"/>
    <x v="6"/>
    <n v="2854"/>
    <x v="2"/>
    <x v="1"/>
  </r>
  <r>
    <n v="266"/>
    <d v="2021-03-19T00:00:00"/>
    <x v="5"/>
    <x v="1"/>
    <x v="2"/>
    <x v="7"/>
    <n v="0"/>
    <x v="1"/>
    <x v="2"/>
    <x v="0"/>
    <x v="8"/>
    <n v="217"/>
    <x v="2"/>
    <x v="1"/>
  </r>
  <r>
    <n v="267"/>
    <d v="2021-03-22T00:00:00"/>
    <x v="3"/>
    <x v="0"/>
    <x v="0"/>
    <x v="0"/>
    <n v="0"/>
    <x v="6"/>
    <x v="3"/>
    <x v="2"/>
    <x v="8"/>
    <n v="804"/>
    <x v="2"/>
    <x v="1"/>
  </r>
  <r>
    <n v="268"/>
    <d v="2021-03-23T00:00:00"/>
    <x v="5"/>
    <x v="0"/>
    <x v="4"/>
    <x v="4"/>
    <n v="0"/>
    <x v="8"/>
    <x v="3"/>
    <x v="0"/>
    <x v="7"/>
    <n v="668"/>
    <x v="2"/>
    <x v="1"/>
  </r>
  <r>
    <n v="269"/>
    <d v="2021-03-31T00:00:00"/>
    <x v="4"/>
    <x v="0"/>
    <x v="2"/>
    <x v="3"/>
    <n v="0"/>
    <x v="6"/>
    <x v="0"/>
    <x v="1"/>
    <x v="2"/>
    <n v="0"/>
    <x v="2"/>
    <x v="1"/>
  </r>
  <r>
    <n v="270"/>
    <d v="2021-03-31T00:00:00"/>
    <x v="2"/>
    <x v="1"/>
    <x v="2"/>
    <x v="1"/>
    <n v="5"/>
    <x v="3"/>
    <x v="1"/>
    <x v="2"/>
    <x v="8"/>
    <n v="1993"/>
    <x v="2"/>
    <x v="1"/>
  </r>
  <r>
    <n v="271"/>
    <d v="2021-04-01T00:00:00"/>
    <x v="7"/>
    <x v="0"/>
    <x v="2"/>
    <x v="1"/>
    <n v="0"/>
    <x v="1"/>
    <x v="3"/>
    <x v="2"/>
    <x v="1"/>
    <n v="4836"/>
    <x v="3"/>
    <x v="1"/>
  </r>
  <r>
    <n v="272"/>
    <d v="2021-04-01T00:00:00"/>
    <x v="2"/>
    <x v="0"/>
    <x v="3"/>
    <x v="5"/>
    <n v="0"/>
    <x v="8"/>
    <x v="0"/>
    <x v="1"/>
    <x v="6"/>
    <n v="0"/>
    <x v="3"/>
    <x v="1"/>
  </r>
  <r>
    <n v="273"/>
    <d v="2021-04-02T00:00:00"/>
    <x v="7"/>
    <x v="1"/>
    <x v="0"/>
    <x v="8"/>
    <n v="0"/>
    <x v="3"/>
    <x v="2"/>
    <x v="2"/>
    <x v="2"/>
    <n v="342"/>
    <x v="3"/>
    <x v="1"/>
  </r>
  <r>
    <n v="274"/>
    <d v="2021-04-06T00:00:00"/>
    <x v="1"/>
    <x v="0"/>
    <x v="0"/>
    <x v="7"/>
    <n v="5"/>
    <x v="8"/>
    <x v="1"/>
    <x v="1"/>
    <x v="1"/>
    <n v="2468"/>
    <x v="3"/>
    <x v="1"/>
  </r>
  <r>
    <n v="275"/>
    <d v="2021-04-08T00:00:00"/>
    <x v="6"/>
    <x v="0"/>
    <x v="4"/>
    <x v="2"/>
    <n v="0"/>
    <x v="0"/>
    <x v="3"/>
    <x v="2"/>
    <x v="1"/>
    <n v="2990"/>
    <x v="3"/>
    <x v="1"/>
  </r>
  <r>
    <n v="276"/>
    <d v="2021-04-09T00:00:00"/>
    <x v="1"/>
    <x v="0"/>
    <x v="0"/>
    <x v="4"/>
    <n v="0"/>
    <x v="6"/>
    <x v="3"/>
    <x v="1"/>
    <x v="3"/>
    <n v="4570"/>
    <x v="3"/>
    <x v="1"/>
  </r>
  <r>
    <n v="277"/>
    <d v="2021-04-11T00:00:00"/>
    <x v="6"/>
    <x v="0"/>
    <x v="2"/>
    <x v="7"/>
    <n v="0"/>
    <x v="8"/>
    <x v="3"/>
    <x v="2"/>
    <x v="7"/>
    <n v="2022"/>
    <x v="3"/>
    <x v="1"/>
  </r>
  <r>
    <n v="278"/>
    <d v="2021-04-13T00:00:00"/>
    <x v="9"/>
    <x v="0"/>
    <x v="4"/>
    <x v="1"/>
    <n v="4"/>
    <x v="2"/>
    <x v="1"/>
    <x v="0"/>
    <x v="8"/>
    <n v="2705"/>
    <x v="3"/>
    <x v="1"/>
  </r>
  <r>
    <n v="279"/>
    <d v="2021-04-14T00:00:00"/>
    <x v="11"/>
    <x v="0"/>
    <x v="1"/>
    <x v="1"/>
    <n v="2.5"/>
    <x v="8"/>
    <x v="1"/>
    <x v="0"/>
    <x v="3"/>
    <n v="819"/>
    <x v="3"/>
    <x v="1"/>
  </r>
  <r>
    <n v="280"/>
    <d v="2021-04-15T00:00:00"/>
    <x v="2"/>
    <x v="1"/>
    <x v="4"/>
    <x v="0"/>
    <n v="0"/>
    <x v="8"/>
    <x v="0"/>
    <x v="2"/>
    <x v="2"/>
    <n v="0"/>
    <x v="3"/>
    <x v="1"/>
  </r>
  <r>
    <n v="281"/>
    <d v="2021-04-16T00:00:00"/>
    <x v="10"/>
    <x v="0"/>
    <x v="4"/>
    <x v="2"/>
    <n v="0"/>
    <x v="4"/>
    <x v="2"/>
    <x v="2"/>
    <x v="4"/>
    <n v="37"/>
    <x v="3"/>
    <x v="1"/>
  </r>
  <r>
    <n v="282"/>
    <d v="2021-04-17T00:00:00"/>
    <x v="3"/>
    <x v="0"/>
    <x v="0"/>
    <x v="4"/>
    <n v="0"/>
    <x v="1"/>
    <x v="3"/>
    <x v="2"/>
    <x v="2"/>
    <n v="4741"/>
    <x v="3"/>
    <x v="1"/>
  </r>
  <r>
    <n v="283"/>
    <d v="2021-04-20T00:00:00"/>
    <x v="8"/>
    <x v="0"/>
    <x v="2"/>
    <x v="2"/>
    <n v="0"/>
    <x v="6"/>
    <x v="3"/>
    <x v="1"/>
    <x v="4"/>
    <n v="2063"/>
    <x v="3"/>
    <x v="1"/>
  </r>
  <r>
    <n v="284"/>
    <d v="2021-04-20T00:00:00"/>
    <x v="1"/>
    <x v="0"/>
    <x v="1"/>
    <x v="5"/>
    <n v="0"/>
    <x v="0"/>
    <x v="2"/>
    <x v="1"/>
    <x v="0"/>
    <n v="359"/>
    <x v="3"/>
    <x v="1"/>
  </r>
  <r>
    <n v="285"/>
    <d v="2021-04-21T00:00:00"/>
    <x v="0"/>
    <x v="0"/>
    <x v="4"/>
    <x v="3"/>
    <n v="5"/>
    <x v="7"/>
    <x v="1"/>
    <x v="1"/>
    <x v="8"/>
    <n v="1119"/>
    <x v="3"/>
    <x v="1"/>
  </r>
  <r>
    <n v="286"/>
    <d v="2021-04-24T00:00:00"/>
    <x v="8"/>
    <x v="0"/>
    <x v="4"/>
    <x v="2"/>
    <n v="3"/>
    <x v="5"/>
    <x v="1"/>
    <x v="1"/>
    <x v="4"/>
    <n v="2851"/>
    <x v="3"/>
    <x v="1"/>
  </r>
  <r>
    <n v="287"/>
    <d v="2021-04-25T00:00:00"/>
    <x v="6"/>
    <x v="0"/>
    <x v="4"/>
    <x v="3"/>
    <n v="0"/>
    <x v="7"/>
    <x v="0"/>
    <x v="2"/>
    <x v="4"/>
    <n v="0"/>
    <x v="3"/>
    <x v="1"/>
  </r>
  <r>
    <n v="288"/>
    <d v="2021-05-01T00:00:00"/>
    <x v="7"/>
    <x v="0"/>
    <x v="0"/>
    <x v="0"/>
    <n v="0"/>
    <x v="6"/>
    <x v="3"/>
    <x v="0"/>
    <x v="0"/>
    <n v="1872"/>
    <x v="4"/>
    <x v="1"/>
  </r>
  <r>
    <n v="289"/>
    <d v="2021-05-04T00:00:00"/>
    <x v="3"/>
    <x v="0"/>
    <x v="2"/>
    <x v="6"/>
    <n v="3"/>
    <x v="1"/>
    <x v="1"/>
    <x v="1"/>
    <x v="4"/>
    <n v="4303"/>
    <x v="4"/>
    <x v="1"/>
  </r>
  <r>
    <n v="290"/>
    <d v="2021-05-06T00:00:00"/>
    <x v="0"/>
    <x v="0"/>
    <x v="4"/>
    <x v="0"/>
    <n v="0"/>
    <x v="0"/>
    <x v="3"/>
    <x v="0"/>
    <x v="8"/>
    <n v="1884"/>
    <x v="4"/>
    <x v="1"/>
  </r>
  <r>
    <n v="291"/>
    <d v="2021-05-07T00:00:00"/>
    <x v="6"/>
    <x v="0"/>
    <x v="1"/>
    <x v="2"/>
    <n v="0.5"/>
    <x v="2"/>
    <x v="1"/>
    <x v="1"/>
    <x v="2"/>
    <n v="1084"/>
    <x v="4"/>
    <x v="1"/>
  </r>
  <r>
    <n v="292"/>
    <d v="2021-05-08T00:00:00"/>
    <x v="11"/>
    <x v="0"/>
    <x v="1"/>
    <x v="3"/>
    <n v="0"/>
    <x v="3"/>
    <x v="0"/>
    <x v="1"/>
    <x v="3"/>
    <n v="0"/>
    <x v="4"/>
    <x v="1"/>
  </r>
  <r>
    <n v="293"/>
    <d v="2021-05-08T00:00:00"/>
    <x v="8"/>
    <x v="0"/>
    <x v="2"/>
    <x v="3"/>
    <n v="0"/>
    <x v="2"/>
    <x v="2"/>
    <x v="2"/>
    <x v="5"/>
    <n v="152"/>
    <x v="4"/>
    <x v="1"/>
  </r>
  <r>
    <n v="294"/>
    <d v="2021-05-10T00:00:00"/>
    <x v="6"/>
    <x v="0"/>
    <x v="4"/>
    <x v="2"/>
    <n v="0"/>
    <x v="7"/>
    <x v="0"/>
    <x v="0"/>
    <x v="8"/>
    <n v="0"/>
    <x v="4"/>
    <x v="1"/>
  </r>
  <r>
    <n v="295"/>
    <d v="2021-05-12T00:00:00"/>
    <x v="0"/>
    <x v="0"/>
    <x v="3"/>
    <x v="1"/>
    <n v="0"/>
    <x v="3"/>
    <x v="0"/>
    <x v="0"/>
    <x v="4"/>
    <n v="0"/>
    <x v="4"/>
    <x v="1"/>
  </r>
  <r>
    <n v="296"/>
    <d v="2021-05-19T00:00:00"/>
    <x v="5"/>
    <x v="1"/>
    <x v="2"/>
    <x v="7"/>
    <n v="0"/>
    <x v="7"/>
    <x v="3"/>
    <x v="0"/>
    <x v="6"/>
    <n v="3286"/>
    <x v="4"/>
    <x v="1"/>
  </r>
  <r>
    <n v="297"/>
    <d v="2021-05-19T00:00:00"/>
    <x v="10"/>
    <x v="0"/>
    <x v="4"/>
    <x v="3"/>
    <n v="0"/>
    <x v="4"/>
    <x v="0"/>
    <x v="1"/>
    <x v="8"/>
    <n v="0"/>
    <x v="4"/>
    <x v="1"/>
  </r>
  <r>
    <n v="298"/>
    <d v="2021-05-20T00:00:00"/>
    <x v="9"/>
    <x v="0"/>
    <x v="1"/>
    <x v="1"/>
    <n v="0"/>
    <x v="0"/>
    <x v="0"/>
    <x v="0"/>
    <x v="0"/>
    <n v="0"/>
    <x v="4"/>
    <x v="1"/>
  </r>
  <r>
    <n v="299"/>
    <d v="2021-05-20T00:00:00"/>
    <x v="11"/>
    <x v="0"/>
    <x v="2"/>
    <x v="6"/>
    <n v="0"/>
    <x v="2"/>
    <x v="2"/>
    <x v="2"/>
    <x v="2"/>
    <n v="60"/>
    <x v="4"/>
    <x v="1"/>
  </r>
  <r>
    <n v="300"/>
    <d v="2021-05-24T00:00:00"/>
    <x v="9"/>
    <x v="1"/>
    <x v="0"/>
    <x v="0"/>
    <n v="0"/>
    <x v="7"/>
    <x v="0"/>
    <x v="0"/>
    <x v="2"/>
    <n v="0"/>
    <x v="4"/>
    <x v="1"/>
  </r>
  <r>
    <n v="301"/>
    <d v="2021-05-26T00:00:00"/>
    <x v="5"/>
    <x v="0"/>
    <x v="4"/>
    <x v="6"/>
    <n v="0"/>
    <x v="7"/>
    <x v="0"/>
    <x v="0"/>
    <x v="0"/>
    <n v="0"/>
    <x v="4"/>
    <x v="1"/>
  </r>
  <r>
    <n v="302"/>
    <d v="2021-05-26T00:00:00"/>
    <x v="5"/>
    <x v="0"/>
    <x v="0"/>
    <x v="2"/>
    <n v="0"/>
    <x v="3"/>
    <x v="3"/>
    <x v="2"/>
    <x v="3"/>
    <n v="4213"/>
    <x v="4"/>
    <x v="1"/>
  </r>
  <r>
    <n v="303"/>
    <d v="2021-05-29T00:00:00"/>
    <x v="4"/>
    <x v="0"/>
    <x v="3"/>
    <x v="5"/>
    <n v="1"/>
    <x v="0"/>
    <x v="1"/>
    <x v="0"/>
    <x v="7"/>
    <n v="3657"/>
    <x v="4"/>
    <x v="1"/>
  </r>
  <r>
    <n v="304"/>
    <d v="2021-05-30T00:00:00"/>
    <x v="5"/>
    <x v="0"/>
    <x v="2"/>
    <x v="1"/>
    <n v="0"/>
    <x v="4"/>
    <x v="2"/>
    <x v="0"/>
    <x v="8"/>
    <n v="442"/>
    <x v="4"/>
    <x v="1"/>
  </r>
  <r>
    <n v="305"/>
    <d v="2021-06-01T00:00:00"/>
    <x v="11"/>
    <x v="0"/>
    <x v="0"/>
    <x v="2"/>
    <n v="0"/>
    <x v="2"/>
    <x v="0"/>
    <x v="1"/>
    <x v="3"/>
    <n v="0"/>
    <x v="5"/>
    <x v="1"/>
  </r>
  <r>
    <n v="306"/>
    <d v="2021-06-01T00:00:00"/>
    <x v="4"/>
    <x v="0"/>
    <x v="2"/>
    <x v="1"/>
    <n v="0"/>
    <x v="3"/>
    <x v="0"/>
    <x v="1"/>
    <x v="1"/>
    <n v="0"/>
    <x v="5"/>
    <x v="1"/>
  </r>
  <r>
    <n v="307"/>
    <d v="2021-06-02T00:00:00"/>
    <x v="8"/>
    <x v="0"/>
    <x v="2"/>
    <x v="6"/>
    <n v="0"/>
    <x v="5"/>
    <x v="3"/>
    <x v="2"/>
    <x v="8"/>
    <n v="882"/>
    <x v="5"/>
    <x v="1"/>
  </r>
  <r>
    <n v="308"/>
    <d v="2021-06-02T00:00:00"/>
    <x v="5"/>
    <x v="0"/>
    <x v="4"/>
    <x v="4"/>
    <n v="0"/>
    <x v="4"/>
    <x v="0"/>
    <x v="0"/>
    <x v="4"/>
    <n v="0"/>
    <x v="5"/>
    <x v="1"/>
  </r>
  <r>
    <n v="309"/>
    <d v="2021-06-03T00:00:00"/>
    <x v="10"/>
    <x v="1"/>
    <x v="2"/>
    <x v="1"/>
    <n v="3"/>
    <x v="4"/>
    <x v="1"/>
    <x v="0"/>
    <x v="3"/>
    <n v="498"/>
    <x v="5"/>
    <x v="1"/>
  </r>
  <r>
    <n v="310"/>
    <d v="2021-06-03T00:00:00"/>
    <x v="0"/>
    <x v="0"/>
    <x v="3"/>
    <x v="7"/>
    <n v="4.5"/>
    <x v="6"/>
    <x v="1"/>
    <x v="0"/>
    <x v="0"/>
    <n v="3170"/>
    <x v="5"/>
    <x v="1"/>
  </r>
  <r>
    <n v="311"/>
    <d v="2021-06-06T00:00:00"/>
    <x v="3"/>
    <x v="0"/>
    <x v="4"/>
    <x v="0"/>
    <n v="0"/>
    <x v="5"/>
    <x v="3"/>
    <x v="1"/>
    <x v="0"/>
    <n v="4260"/>
    <x v="5"/>
    <x v="1"/>
  </r>
  <r>
    <n v="312"/>
    <d v="2021-06-07T00:00:00"/>
    <x v="2"/>
    <x v="0"/>
    <x v="4"/>
    <x v="6"/>
    <n v="0"/>
    <x v="8"/>
    <x v="2"/>
    <x v="1"/>
    <x v="6"/>
    <n v="107"/>
    <x v="5"/>
    <x v="1"/>
  </r>
  <r>
    <n v="313"/>
    <d v="2021-06-08T00:00:00"/>
    <x v="6"/>
    <x v="0"/>
    <x v="0"/>
    <x v="3"/>
    <n v="0"/>
    <x v="1"/>
    <x v="0"/>
    <x v="0"/>
    <x v="7"/>
    <n v="0"/>
    <x v="5"/>
    <x v="1"/>
  </r>
  <r>
    <n v="314"/>
    <d v="2021-06-08T00:00:00"/>
    <x v="1"/>
    <x v="0"/>
    <x v="1"/>
    <x v="7"/>
    <n v="0"/>
    <x v="6"/>
    <x v="2"/>
    <x v="2"/>
    <x v="0"/>
    <n v="152"/>
    <x v="5"/>
    <x v="1"/>
  </r>
  <r>
    <n v="315"/>
    <d v="2021-06-12T00:00:00"/>
    <x v="7"/>
    <x v="0"/>
    <x v="0"/>
    <x v="0"/>
    <n v="4.5"/>
    <x v="6"/>
    <x v="1"/>
    <x v="2"/>
    <x v="4"/>
    <n v="2651"/>
    <x v="5"/>
    <x v="1"/>
  </r>
  <r>
    <n v="316"/>
    <d v="2021-06-12T00:00:00"/>
    <x v="9"/>
    <x v="0"/>
    <x v="1"/>
    <x v="2"/>
    <n v="0"/>
    <x v="6"/>
    <x v="2"/>
    <x v="0"/>
    <x v="8"/>
    <n v="491"/>
    <x v="5"/>
    <x v="1"/>
  </r>
  <r>
    <n v="317"/>
    <d v="2021-06-13T00:00:00"/>
    <x v="11"/>
    <x v="0"/>
    <x v="4"/>
    <x v="1"/>
    <n v="0"/>
    <x v="6"/>
    <x v="0"/>
    <x v="0"/>
    <x v="5"/>
    <n v="0"/>
    <x v="5"/>
    <x v="1"/>
  </r>
  <r>
    <n v="318"/>
    <d v="2021-06-15T00:00:00"/>
    <x v="7"/>
    <x v="0"/>
    <x v="4"/>
    <x v="6"/>
    <n v="2"/>
    <x v="4"/>
    <x v="1"/>
    <x v="2"/>
    <x v="2"/>
    <n v="674"/>
    <x v="5"/>
    <x v="1"/>
  </r>
  <r>
    <n v="319"/>
    <d v="2021-06-17T00:00:00"/>
    <x v="10"/>
    <x v="0"/>
    <x v="2"/>
    <x v="0"/>
    <n v="0"/>
    <x v="6"/>
    <x v="3"/>
    <x v="2"/>
    <x v="8"/>
    <n v="718"/>
    <x v="5"/>
    <x v="1"/>
  </r>
  <r>
    <n v="320"/>
    <d v="2021-06-18T00:00:00"/>
    <x v="2"/>
    <x v="0"/>
    <x v="0"/>
    <x v="2"/>
    <n v="1.5"/>
    <x v="6"/>
    <x v="1"/>
    <x v="0"/>
    <x v="5"/>
    <n v="1698"/>
    <x v="5"/>
    <x v="1"/>
  </r>
  <r>
    <n v="321"/>
    <d v="2021-06-18T00:00:00"/>
    <x v="0"/>
    <x v="0"/>
    <x v="4"/>
    <x v="0"/>
    <n v="0"/>
    <x v="7"/>
    <x v="3"/>
    <x v="1"/>
    <x v="0"/>
    <n v="4664"/>
    <x v="5"/>
    <x v="1"/>
  </r>
  <r>
    <n v="322"/>
    <d v="2021-06-18T00:00:00"/>
    <x v="7"/>
    <x v="0"/>
    <x v="2"/>
    <x v="5"/>
    <n v="4.5"/>
    <x v="5"/>
    <x v="1"/>
    <x v="2"/>
    <x v="3"/>
    <n v="1694"/>
    <x v="5"/>
    <x v="1"/>
  </r>
  <r>
    <n v="323"/>
    <d v="2021-06-19T00:00:00"/>
    <x v="8"/>
    <x v="0"/>
    <x v="2"/>
    <x v="4"/>
    <n v="0"/>
    <x v="2"/>
    <x v="3"/>
    <x v="2"/>
    <x v="5"/>
    <n v="522"/>
    <x v="5"/>
    <x v="1"/>
  </r>
  <r>
    <n v="324"/>
    <d v="2021-06-21T00:00:00"/>
    <x v="3"/>
    <x v="0"/>
    <x v="2"/>
    <x v="3"/>
    <n v="0"/>
    <x v="2"/>
    <x v="3"/>
    <x v="1"/>
    <x v="7"/>
    <n v="3221"/>
    <x v="5"/>
    <x v="1"/>
  </r>
  <r>
    <n v="325"/>
    <d v="2021-06-23T00:00:00"/>
    <x v="6"/>
    <x v="0"/>
    <x v="1"/>
    <x v="4"/>
    <n v="0"/>
    <x v="2"/>
    <x v="0"/>
    <x v="1"/>
    <x v="0"/>
    <n v="0"/>
    <x v="5"/>
    <x v="1"/>
  </r>
  <r>
    <n v="326"/>
    <d v="2021-06-25T00:00:00"/>
    <x v="10"/>
    <x v="0"/>
    <x v="1"/>
    <x v="0"/>
    <n v="0"/>
    <x v="1"/>
    <x v="0"/>
    <x v="1"/>
    <x v="0"/>
    <n v="0"/>
    <x v="5"/>
    <x v="1"/>
  </r>
  <r>
    <n v="327"/>
    <d v="2021-06-26T00:00:00"/>
    <x v="2"/>
    <x v="0"/>
    <x v="4"/>
    <x v="6"/>
    <n v="0"/>
    <x v="2"/>
    <x v="2"/>
    <x v="2"/>
    <x v="7"/>
    <n v="383"/>
    <x v="5"/>
    <x v="1"/>
  </r>
  <r>
    <n v="328"/>
    <d v="2021-06-27T00:00:00"/>
    <x v="2"/>
    <x v="0"/>
    <x v="0"/>
    <x v="3"/>
    <n v="4.5"/>
    <x v="2"/>
    <x v="1"/>
    <x v="1"/>
    <x v="6"/>
    <n v="3588"/>
    <x v="5"/>
    <x v="1"/>
  </r>
  <r>
    <n v="329"/>
    <d v="2021-06-28T00:00:00"/>
    <x v="9"/>
    <x v="0"/>
    <x v="4"/>
    <x v="1"/>
    <n v="0"/>
    <x v="3"/>
    <x v="2"/>
    <x v="1"/>
    <x v="1"/>
    <n v="119"/>
    <x v="5"/>
    <x v="1"/>
  </r>
  <r>
    <n v="330"/>
    <d v="2021-06-29T00:00:00"/>
    <x v="6"/>
    <x v="0"/>
    <x v="4"/>
    <x v="4"/>
    <n v="0"/>
    <x v="0"/>
    <x v="0"/>
    <x v="1"/>
    <x v="0"/>
    <n v="0"/>
    <x v="5"/>
    <x v="1"/>
  </r>
  <r>
    <n v="331"/>
    <d v="2021-07-04T00:00:00"/>
    <x v="11"/>
    <x v="0"/>
    <x v="4"/>
    <x v="3"/>
    <n v="0"/>
    <x v="8"/>
    <x v="2"/>
    <x v="2"/>
    <x v="2"/>
    <n v="88"/>
    <x v="6"/>
    <x v="1"/>
  </r>
  <r>
    <n v="332"/>
    <d v="2021-07-06T00:00:00"/>
    <x v="9"/>
    <x v="0"/>
    <x v="0"/>
    <x v="6"/>
    <n v="0"/>
    <x v="1"/>
    <x v="2"/>
    <x v="1"/>
    <x v="5"/>
    <n v="373"/>
    <x v="6"/>
    <x v="1"/>
  </r>
  <r>
    <n v="333"/>
    <d v="2021-07-07T00:00:00"/>
    <x v="9"/>
    <x v="0"/>
    <x v="1"/>
    <x v="4"/>
    <n v="0"/>
    <x v="8"/>
    <x v="3"/>
    <x v="1"/>
    <x v="6"/>
    <n v="4905"/>
    <x v="6"/>
    <x v="1"/>
  </r>
  <r>
    <n v="334"/>
    <d v="2021-07-08T00:00:00"/>
    <x v="10"/>
    <x v="0"/>
    <x v="0"/>
    <x v="5"/>
    <n v="4.5"/>
    <x v="3"/>
    <x v="1"/>
    <x v="0"/>
    <x v="5"/>
    <n v="738"/>
    <x v="6"/>
    <x v="1"/>
  </r>
  <r>
    <n v="335"/>
    <d v="2021-07-08T00:00:00"/>
    <x v="7"/>
    <x v="0"/>
    <x v="0"/>
    <x v="6"/>
    <n v="0"/>
    <x v="7"/>
    <x v="3"/>
    <x v="1"/>
    <x v="0"/>
    <n v="2450"/>
    <x v="6"/>
    <x v="1"/>
  </r>
  <r>
    <n v="336"/>
    <d v="2021-07-11T00:00:00"/>
    <x v="0"/>
    <x v="0"/>
    <x v="4"/>
    <x v="0"/>
    <n v="0"/>
    <x v="5"/>
    <x v="2"/>
    <x v="2"/>
    <x v="5"/>
    <n v="321"/>
    <x v="6"/>
    <x v="1"/>
  </r>
  <r>
    <n v="337"/>
    <d v="2021-07-12T00:00:00"/>
    <x v="10"/>
    <x v="0"/>
    <x v="0"/>
    <x v="0"/>
    <n v="0"/>
    <x v="2"/>
    <x v="0"/>
    <x v="1"/>
    <x v="0"/>
    <n v="0"/>
    <x v="6"/>
    <x v="1"/>
  </r>
  <r>
    <n v="338"/>
    <d v="2021-07-13T00:00:00"/>
    <x v="11"/>
    <x v="0"/>
    <x v="0"/>
    <x v="1"/>
    <n v="3.5"/>
    <x v="4"/>
    <x v="1"/>
    <x v="2"/>
    <x v="7"/>
    <n v="2466"/>
    <x v="6"/>
    <x v="1"/>
  </r>
  <r>
    <n v="339"/>
    <d v="2021-07-19T00:00:00"/>
    <x v="5"/>
    <x v="0"/>
    <x v="4"/>
    <x v="3"/>
    <n v="0"/>
    <x v="7"/>
    <x v="0"/>
    <x v="0"/>
    <x v="2"/>
    <n v="0"/>
    <x v="6"/>
    <x v="1"/>
  </r>
  <r>
    <n v="340"/>
    <d v="2021-07-20T00:00:00"/>
    <x v="7"/>
    <x v="0"/>
    <x v="2"/>
    <x v="5"/>
    <n v="0"/>
    <x v="7"/>
    <x v="3"/>
    <x v="2"/>
    <x v="8"/>
    <n v="2514"/>
    <x v="6"/>
    <x v="1"/>
  </r>
  <r>
    <n v="341"/>
    <d v="2021-07-21T00:00:00"/>
    <x v="8"/>
    <x v="0"/>
    <x v="0"/>
    <x v="5"/>
    <n v="1"/>
    <x v="0"/>
    <x v="1"/>
    <x v="1"/>
    <x v="2"/>
    <n v="3959"/>
    <x v="6"/>
    <x v="1"/>
  </r>
  <r>
    <n v="342"/>
    <d v="2021-07-22T00:00:00"/>
    <x v="0"/>
    <x v="0"/>
    <x v="2"/>
    <x v="6"/>
    <n v="0"/>
    <x v="3"/>
    <x v="3"/>
    <x v="0"/>
    <x v="8"/>
    <n v="4530"/>
    <x v="6"/>
    <x v="1"/>
  </r>
  <r>
    <n v="343"/>
    <d v="2021-07-25T00:00:00"/>
    <x v="8"/>
    <x v="0"/>
    <x v="2"/>
    <x v="7"/>
    <n v="1.5"/>
    <x v="1"/>
    <x v="1"/>
    <x v="1"/>
    <x v="3"/>
    <n v="1241"/>
    <x v="6"/>
    <x v="1"/>
  </r>
  <r>
    <n v="344"/>
    <d v="2021-07-25T00:00:00"/>
    <x v="9"/>
    <x v="0"/>
    <x v="4"/>
    <x v="4"/>
    <n v="1"/>
    <x v="3"/>
    <x v="1"/>
    <x v="2"/>
    <x v="1"/>
    <n v="1301"/>
    <x v="6"/>
    <x v="1"/>
  </r>
  <r>
    <n v="345"/>
    <d v="2021-07-31T00:00:00"/>
    <x v="10"/>
    <x v="0"/>
    <x v="0"/>
    <x v="7"/>
    <n v="0"/>
    <x v="2"/>
    <x v="2"/>
    <x v="1"/>
    <x v="3"/>
    <n v="140"/>
    <x v="6"/>
    <x v="1"/>
  </r>
  <r>
    <n v="346"/>
    <d v="2021-08-02T00:00:00"/>
    <x v="6"/>
    <x v="0"/>
    <x v="3"/>
    <x v="1"/>
    <n v="0"/>
    <x v="7"/>
    <x v="3"/>
    <x v="1"/>
    <x v="5"/>
    <n v="634"/>
    <x v="7"/>
    <x v="1"/>
  </r>
  <r>
    <n v="347"/>
    <d v="2021-08-03T00:00:00"/>
    <x v="10"/>
    <x v="0"/>
    <x v="2"/>
    <x v="8"/>
    <n v="0"/>
    <x v="7"/>
    <x v="3"/>
    <x v="0"/>
    <x v="7"/>
    <n v="3204"/>
    <x v="7"/>
    <x v="1"/>
  </r>
  <r>
    <n v="348"/>
    <d v="2021-08-07T00:00:00"/>
    <x v="6"/>
    <x v="0"/>
    <x v="0"/>
    <x v="3"/>
    <n v="0"/>
    <x v="4"/>
    <x v="2"/>
    <x v="0"/>
    <x v="8"/>
    <n v="453"/>
    <x v="7"/>
    <x v="1"/>
  </r>
  <r>
    <n v="349"/>
    <d v="2021-08-07T00:00:00"/>
    <x v="4"/>
    <x v="0"/>
    <x v="2"/>
    <x v="3"/>
    <n v="3"/>
    <x v="3"/>
    <x v="1"/>
    <x v="0"/>
    <x v="1"/>
    <n v="2937"/>
    <x v="7"/>
    <x v="1"/>
  </r>
  <r>
    <n v="350"/>
    <d v="2021-08-10T00:00:00"/>
    <x v="1"/>
    <x v="0"/>
    <x v="1"/>
    <x v="2"/>
    <n v="0"/>
    <x v="5"/>
    <x v="0"/>
    <x v="1"/>
    <x v="2"/>
    <n v="0"/>
    <x v="7"/>
    <x v="1"/>
  </r>
  <r>
    <n v="351"/>
    <d v="2021-08-12T00:00:00"/>
    <x v="11"/>
    <x v="0"/>
    <x v="0"/>
    <x v="3"/>
    <n v="0"/>
    <x v="3"/>
    <x v="0"/>
    <x v="2"/>
    <x v="1"/>
    <n v="0"/>
    <x v="7"/>
    <x v="1"/>
  </r>
  <r>
    <n v="352"/>
    <d v="2021-08-13T00:00:00"/>
    <x v="10"/>
    <x v="0"/>
    <x v="0"/>
    <x v="7"/>
    <n v="0"/>
    <x v="3"/>
    <x v="2"/>
    <x v="0"/>
    <x v="3"/>
    <n v="53"/>
    <x v="7"/>
    <x v="1"/>
  </r>
  <r>
    <n v="353"/>
    <d v="2021-08-16T00:00:00"/>
    <x v="8"/>
    <x v="0"/>
    <x v="4"/>
    <x v="1"/>
    <n v="2"/>
    <x v="5"/>
    <x v="1"/>
    <x v="1"/>
    <x v="3"/>
    <n v="4160"/>
    <x v="7"/>
    <x v="1"/>
  </r>
  <r>
    <n v="354"/>
    <d v="2021-08-18T00:00:00"/>
    <x v="11"/>
    <x v="0"/>
    <x v="4"/>
    <x v="2"/>
    <n v="4.5"/>
    <x v="2"/>
    <x v="1"/>
    <x v="2"/>
    <x v="6"/>
    <n v="2988"/>
    <x v="7"/>
    <x v="1"/>
  </r>
  <r>
    <n v="355"/>
    <d v="2021-08-19T00:00:00"/>
    <x v="9"/>
    <x v="1"/>
    <x v="0"/>
    <x v="8"/>
    <n v="0"/>
    <x v="6"/>
    <x v="0"/>
    <x v="1"/>
    <x v="0"/>
    <n v="0"/>
    <x v="7"/>
    <x v="1"/>
  </r>
  <r>
    <n v="356"/>
    <d v="2021-08-21T00:00:00"/>
    <x v="10"/>
    <x v="0"/>
    <x v="4"/>
    <x v="5"/>
    <n v="3.5"/>
    <x v="1"/>
    <x v="1"/>
    <x v="0"/>
    <x v="0"/>
    <n v="1155"/>
    <x v="7"/>
    <x v="1"/>
  </r>
  <r>
    <n v="357"/>
    <d v="2021-08-22T00:00:00"/>
    <x v="3"/>
    <x v="0"/>
    <x v="4"/>
    <x v="6"/>
    <n v="0"/>
    <x v="3"/>
    <x v="0"/>
    <x v="2"/>
    <x v="8"/>
    <n v="0"/>
    <x v="7"/>
    <x v="1"/>
  </r>
  <r>
    <n v="358"/>
    <d v="2021-08-22T00:00:00"/>
    <x v="7"/>
    <x v="0"/>
    <x v="0"/>
    <x v="1"/>
    <n v="2"/>
    <x v="8"/>
    <x v="1"/>
    <x v="1"/>
    <x v="3"/>
    <n v="1902"/>
    <x v="7"/>
    <x v="1"/>
  </r>
  <r>
    <n v="359"/>
    <d v="2021-08-22T00:00:00"/>
    <x v="6"/>
    <x v="0"/>
    <x v="0"/>
    <x v="1"/>
    <n v="0"/>
    <x v="8"/>
    <x v="0"/>
    <x v="0"/>
    <x v="5"/>
    <n v="0"/>
    <x v="7"/>
    <x v="1"/>
  </r>
  <r>
    <n v="360"/>
    <d v="2021-08-23T00:00:00"/>
    <x v="2"/>
    <x v="0"/>
    <x v="0"/>
    <x v="0"/>
    <n v="2.5"/>
    <x v="2"/>
    <x v="1"/>
    <x v="1"/>
    <x v="3"/>
    <n v="3817"/>
    <x v="7"/>
    <x v="1"/>
  </r>
  <r>
    <n v="361"/>
    <d v="2021-08-24T00:00:00"/>
    <x v="9"/>
    <x v="1"/>
    <x v="1"/>
    <x v="0"/>
    <n v="0"/>
    <x v="6"/>
    <x v="0"/>
    <x v="0"/>
    <x v="5"/>
    <n v="0"/>
    <x v="7"/>
    <x v="1"/>
  </r>
  <r>
    <n v="362"/>
    <d v="2021-08-29T00:00:00"/>
    <x v="0"/>
    <x v="0"/>
    <x v="4"/>
    <x v="4"/>
    <n v="0"/>
    <x v="2"/>
    <x v="0"/>
    <x v="0"/>
    <x v="8"/>
    <n v="0"/>
    <x v="7"/>
    <x v="1"/>
  </r>
  <r>
    <n v="363"/>
    <d v="2021-08-29T00:00:00"/>
    <x v="0"/>
    <x v="0"/>
    <x v="4"/>
    <x v="7"/>
    <n v="0"/>
    <x v="8"/>
    <x v="2"/>
    <x v="0"/>
    <x v="7"/>
    <n v="302"/>
    <x v="7"/>
    <x v="1"/>
  </r>
  <r>
    <n v="364"/>
    <d v="2021-09-01T00:00:00"/>
    <x v="6"/>
    <x v="0"/>
    <x v="2"/>
    <x v="2"/>
    <n v="0"/>
    <x v="3"/>
    <x v="2"/>
    <x v="1"/>
    <x v="3"/>
    <n v="95"/>
    <x v="8"/>
    <x v="1"/>
  </r>
  <r>
    <n v="365"/>
    <d v="2021-09-03T00:00:00"/>
    <x v="2"/>
    <x v="0"/>
    <x v="0"/>
    <x v="2"/>
    <n v="0"/>
    <x v="2"/>
    <x v="3"/>
    <x v="0"/>
    <x v="6"/>
    <n v="4834"/>
    <x v="8"/>
    <x v="1"/>
  </r>
  <r>
    <n v="366"/>
    <d v="2021-09-03T00:00:00"/>
    <x v="0"/>
    <x v="0"/>
    <x v="2"/>
    <x v="3"/>
    <n v="0"/>
    <x v="0"/>
    <x v="0"/>
    <x v="1"/>
    <x v="1"/>
    <n v="0"/>
    <x v="8"/>
    <x v="1"/>
  </r>
  <r>
    <n v="367"/>
    <d v="2021-09-06T00:00:00"/>
    <x v="3"/>
    <x v="1"/>
    <x v="4"/>
    <x v="3"/>
    <n v="0"/>
    <x v="6"/>
    <x v="3"/>
    <x v="1"/>
    <x v="7"/>
    <n v="1433"/>
    <x v="8"/>
    <x v="1"/>
  </r>
  <r>
    <n v="368"/>
    <d v="2021-09-10T00:00:00"/>
    <x v="5"/>
    <x v="0"/>
    <x v="2"/>
    <x v="3"/>
    <n v="0"/>
    <x v="8"/>
    <x v="0"/>
    <x v="1"/>
    <x v="5"/>
    <n v="0"/>
    <x v="8"/>
    <x v="1"/>
  </r>
  <r>
    <n v="369"/>
    <d v="2021-09-11T00:00:00"/>
    <x v="7"/>
    <x v="0"/>
    <x v="4"/>
    <x v="0"/>
    <n v="0"/>
    <x v="7"/>
    <x v="2"/>
    <x v="0"/>
    <x v="7"/>
    <n v="159"/>
    <x v="8"/>
    <x v="1"/>
  </r>
  <r>
    <n v="370"/>
    <d v="2021-09-15T00:00:00"/>
    <x v="2"/>
    <x v="0"/>
    <x v="4"/>
    <x v="7"/>
    <n v="0"/>
    <x v="8"/>
    <x v="0"/>
    <x v="2"/>
    <x v="3"/>
    <n v="0"/>
    <x v="8"/>
    <x v="1"/>
  </r>
  <r>
    <n v="371"/>
    <d v="2021-09-17T00:00:00"/>
    <x v="3"/>
    <x v="0"/>
    <x v="2"/>
    <x v="5"/>
    <n v="4"/>
    <x v="2"/>
    <x v="1"/>
    <x v="2"/>
    <x v="4"/>
    <n v="4771"/>
    <x v="8"/>
    <x v="1"/>
  </r>
  <r>
    <n v="372"/>
    <d v="2021-09-18T00:00:00"/>
    <x v="11"/>
    <x v="0"/>
    <x v="2"/>
    <x v="8"/>
    <n v="3.5"/>
    <x v="2"/>
    <x v="1"/>
    <x v="1"/>
    <x v="6"/>
    <n v="3378"/>
    <x v="8"/>
    <x v="1"/>
  </r>
  <r>
    <n v="373"/>
    <d v="2021-09-19T00:00:00"/>
    <x v="9"/>
    <x v="0"/>
    <x v="0"/>
    <x v="4"/>
    <n v="0"/>
    <x v="2"/>
    <x v="3"/>
    <x v="1"/>
    <x v="6"/>
    <n v="3713"/>
    <x v="8"/>
    <x v="1"/>
  </r>
  <r>
    <n v="374"/>
    <d v="2021-09-20T00:00:00"/>
    <x v="10"/>
    <x v="0"/>
    <x v="4"/>
    <x v="3"/>
    <n v="0"/>
    <x v="5"/>
    <x v="0"/>
    <x v="2"/>
    <x v="6"/>
    <n v="0"/>
    <x v="8"/>
    <x v="1"/>
  </r>
  <r>
    <n v="375"/>
    <d v="2021-09-24T00:00:00"/>
    <x v="10"/>
    <x v="0"/>
    <x v="0"/>
    <x v="2"/>
    <n v="0"/>
    <x v="6"/>
    <x v="3"/>
    <x v="1"/>
    <x v="6"/>
    <n v="4994"/>
    <x v="8"/>
    <x v="1"/>
  </r>
  <r>
    <n v="376"/>
    <d v="2021-09-28T00:00:00"/>
    <x v="8"/>
    <x v="1"/>
    <x v="2"/>
    <x v="2"/>
    <n v="0"/>
    <x v="4"/>
    <x v="2"/>
    <x v="2"/>
    <x v="4"/>
    <n v="238"/>
    <x v="8"/>
    <x v="1"/>
  </r>
  <r>
    <n v="377"/>
    <d v="2021-09-29T00:00:00"/>
    <x v="3"/>
    <x v="0"/>
    <x v="0"/>
    <x v="1"/>
    <n v="0"/>
    <x v="2"/>
    <x v="2"/>
    <x v="0"/>
    <x v="4"/>
    <n v="209"/>
    <x v="8"/>
    <x v="1"/>
  </r>
  <r>
    <n v="378"/>
    <d v="2021-10-01T00:00:00"/>
    <x v="11"/>
    <x v="0"/>
    <x v="4"/>
    <x v="3"/>
    <n v="0"/>
    <x v="1"/>
    <x v="3"/>
    <x v="0"/>
    <x v="0"/>
    <n v="2120"/>
    <x v="9"/>
    <x v="1"/>
  </r>
  <r>
    <n v="379"/>
    <d v="2021-10-01T00:00:00"/>
    <x v="0"/>
    <x v="1"/>
    <x v="4"/>
    <x v="1"/>
    <n v="0"/>
    <x v="7"/>
    <x v="0"/>
    <x v="0"/>
    <x v="0"/>
    <n v="0"/>
    <x v="9"/>
    <x v="1"/>
  </r>
  <r>
    <n v="380"/>
    <d v="2021-10-05T00:00:00"/>
    <x v="5"/>
    <x v="0"/>
    <x v="4"/>
    <x v="1"/>
    <n v="1"/>
    <x v="5"/>
    <x v="1"/>
    <x v="1"/>
    <x v="1"/>
    <n v="2245"/>
    <x v="9"/>
    <x v="1"/>
  </r>
  <r>
    <n v="381"/>
    <d v="2021-10-10T00:00:00"/>
    <x v="9"/>
    <x v="0"/>
    <x v="4"/>
    <x v="5"/>
    <n v="0"/>
    <x v="4"/>
    <x v="2"/>
    <x v="0"/>
    <x v="4"/>
    <n v="118"/>
    <x v="9"/>
    <x v="1"/>
  </r>
  <r>
    <n v="382"/>
    <d v="2021-10-13T00:00:00"/>
    <x v="5"/>
    <x v="0"/>
    <x v="1"/>
    <x v="3"/>
    <n v="0"/>
    <x v="5"/>
    <x v="3"/>
    <x v="0"/>
    <x v="8"/>
    <n v="534"/>
    <x v="9"/>
    <x v="1"/>
  </r>
  <r>
    <n v="383"/>
    <d v="2021-10-14T00:00:00"/>
    <x v="8"/>
    <x v="0"/>
    <x v="0"/>
    <x v="4"/>
    <n v="0"/>
    <x v="7"/>
    <x v="0"/>
    <x v="0"/>
    <x v="8"/>
    <n v="0"/>
    <x v="9"/>
    <x v="1"/>
  </r>
  <r>
    <n v="384"/>
    <d v="2021-10-14T00:00:00"/>
    <x v="0"/>
    <x v="0"/>
    <x v="2"/>
    <x v="5"/>
    <n v="0"/>
    <x v="6"/>
    <x v="2"/>
    <x v="1"/>
    <x v="8"/>
    <n v="420"/>
    <x v="9"/>
    <x v="1"/>
  </r>
  <r>
    <n v="385"/>
    <d v="2021-10-15T00:00:00"/>
    <x v="1"/>
    <x v="1"/>
    <x v="2"/>
    <x v="7"/>
    <n v="4"/>
    <x v="6"/>
    <x v="1"/>
    <x v="0"/>
    <x v="0"/>
    <n v="2622"/>
    <x v="9"/>
    <x v="1"/>
  </r>
  <r>
    <n v="386"/>
    <d v="2021-10-16T00:00:00"/>
    <x v="11"/>
    <x v="0"/>
    <x v="2"/>
    <x v="1"/>
    <n v="3.5"/>
    <x v="4"/>
    <x v="1"/>
    <x v="1"/>
    <x v="8"/>
    <n v="1213"/>
    <x v="9"/>
    <x v="1"/>
  </r>
  <r>
    <n v="387"/>
    <d v="2021-10-17T00:00:00"/>
    <x v="3"/>
    <x v="0"/>
    <x v="0"/>
    <x v="2"/>
    <n v="0"/>
    <x v="7"/>
    <x v="0"/>
    <x v="0"/>
    <x v="3"/>
    <n v="0"/>
    <x v="9"/>
    <x v="1"/>
  </r>
  <r>
    <n v="388"/>
    <d v="2021-10-19T00:00:00"/>
    <x v="3"/>
    <x v="0"/>
    <x v="2"/>
    <x v="6"/>
    <n v="0"/>
    <x v="7"/>
    <x v="2"/>
    <x v="1"/>
    <x v="3"/>
    <n v="65"/>
    <x v="9"/>
    <x v="1"/>
  </r>
  <r>
    <n v="389"/>
    <d v="2021-10-19T00:00:00"/>
    <x v="3"/>
    <x v="0"/>
    <x v="0"/>
    <x v="2"/>
    <n v="0"/>
    <x v="7"/>
    <x v="3"/>
    <x v="2"/>
    <x v="6"/>
    <n v="2860"/>
    <x v="9"/>
    <x v="1"/>
  </r>
  <r>
    <n v="390"/>
    <d v="2021-10-23T00:00:00"/>
    <x v="4"/>
    <x v="0"/>
    <x v="2"/>
    <x v="4"/>
    <n v="0"/>
    <x v="0"/>
    <x v="2"/>
    <x v="1"/>
    <x v="6"/>
    <n v="129"/>
    <x v="9"/>
    <x v="1"/>
  </r>
  <r>
    <n v="391"/>
    <d v="2021-10-23T00:00:00"/>
    <x v="5"/>
    <x v="0"/>
    <x v="2"/>
    <x v="4"/>
    <n v="0"/>
    <x v="6"/>
    <x v="3"/>
    <x v="1"/>
    <x v="7"/>
    <n v="4698"/>
    <x v="9"/>
    <x v="1"/>
  </r>
  <r>
    <n v="392"/>
    <d v="2021-10-26T00:00:00"/>
    <x v="0"/>
    <x v="0"/>
    <x v="2"/>
    <x v="6"/>
    <n v="0"/>
    <x v="4"/>
    <x v="0"/>
    <x v="1"/>
    <x v="6"/>
    <n v="0"/>
    <x v="9"/>
    <x v="1"/>
  </r>
  <r>
    <n v="393"/>
    <d v="2021-10-28T00:00:00"/>
    <x v="11"/>
    <x v="0"/>
    <x v="2"/>
    <x v="4"/>
    <n v="0"/>
    <x v="8"/>
    <x v="2"/>
    <x v="1"/>
    <x v="3"/>
    <n v="36"/>
    <x v="9"/>
    <x v="1"/>
  </r>
  <r>
    <n v="394"/>
    <d v="2021-10-30T00:00:00"/>
    <x v="9"/>
    <x v="0"/>
    <x v="4"/>
    <x v="2"/>
    <n v="0"/>
    <x v="8"/>
    <x v="0"/>
    <x v="1"/>
    <x v="6"/>
    <n v="0"/>
    <x v="9"/>
    <x v="1"/>
  </r>
  <r>
    <n v="395"/>
    <d v="2021-11-02T00:00:00"/>
    <x v="10"/>
    <x v="0"/>
    <x v="2"/>
    <x v="2"/>
    <n v="0"/>
    <x v="5"/>
    <x v="0"/>
    <x v="1"/>
    <x v="6"/>
    <n v="0"/>
    <x v="10"/>
    <x v="1"/>
  </r>
  <r>
    <n v="396"/>
    <d v="2021-11-06T00:00:00"/>
    <x v="4"/>
    <x v="0"/>
    <x v="2"/>
    <x v="2"/>
    <n v="0"/>
    <x v="4"/>
    <x v="3"/>
    <x v="2"/>
    <x v="6"/>
    <n v="1585"/>
    <x v="10"/>
    <x v="1"/>
  </r>
  <r>
    <n v="397"/>
    <d v="2021-11-09T00:00:00"/>
    <x v="8"/>
    <x v="0"/>
    <x v="4"/>
    <x v="8"/>
    <n v="3"/>
    <x v="0"/>
    <x v="1"/>
    <x v="2"/>
    <x v="8"/>
    <n v="2015"/>
    <x v="10"/>
    <x v="1"/>
  </r>
  <r>
    <n v="398"/>
    <d v="2021-11-10T00:00:00"/>
    <x v="5"/>
    <x v="0"/>
    <x v="0"/>
    <x v="7"/>
    <n v="4"/>
    <x v="4"/>
    <x v="1"/>
    <x v="1"/>
    <x v="2"/>
    <n v="1793"/>
    <x v="10"/>
    <x v="1"/>
  </r>
  <r>
    <n v="399"/>
    <d v="2021-11-12T00:00:00"/>
    <x v="9"/>
    <x v="0"/>
    <x v="1"/>
    <x v="1"/>
    <n v="2.5"/>
    <x v="8"/>
    <x v="1"/>
    <x v="0"/>
    <x v="8"/>
    <n v="807"/>
    <x v="10"/>
    <x v="1"/>
  </r>
  <r>
    <n v="400"/>
    <d v="2021-11-14T00:00:00"/>
    <x v="8"/>
    <x v="1"/>
    <x v="4"/>
    <x v="2"/>
    <n v="0.5"/>
    <x v="4"/>
    <x v="1"/>
    <x v="0"/>
    <x v="0"/>
    <n v="920"/>
    <x v="10"/>
    <x v="1"/>
  </r>
  <r>
    <n v="401"/>
    <d v="2021-11-15T00:00:00"/>
    <x v="7"/>
    <x v="0"/>
    <x v="0"/>
    <x v="8"/>
    <n v="0"/>
    <x v="5"/>
    <x v="2"/>
    <x v="1"/>
    <x v="5"/>
    <n v="37"/>
    <x v="10"/>
    <x v="1"/>
  </r>
  <r>
    <n v="402"/>
    <d v="2021-11-15T00:00:00"/>
    <x v="6"/>
    <x v="0"/>
    <x v="2"/>
    <x v="8"/>
    <n v="0"/>
    <x v="2"/>
    <x v="3"/>
    <x v="2"/>
    <x v="0"/>
    <n v="4791"/>
    <x v="10"/>
    <x v="1"/>
  </r>
  <r>
    <n v="403"/>
    <d v="2021-11-16T00:00:00"/>
    <x v="8"/>
    <x v="0"/>
    <x v="2"/>
    <x v="5"/>
    <n v="0"/>
    <x v="0"/>
    <x v="3"/>
    <x v="1"/>
    <x v="8"/>
    <n v="2124"/>
    <x v="10"/>
    <x v="1"/>
  </r>
  <r>
    <n v="404"/>
    <d v="2021-11-17T00:00:00"/>
    <x v="7"/>
    <x v="1"/>
    <x v="0"/>
    <x v="6"/>
    <n v="0"/>
    <x v="3"/>
    <x v="0"/>
    <x v="0"/>
    <x v="4"/>
    <n v="0"/>
    <x v="10"/>
    <x v="1"/>
  </r>
  <r>
    <n v="405"/>
    <d v="2021-11-21T00:00:00"/>
    <x v="5"/>
    <x v="0"/>
    <x v="4"/>
    <x v="8"/>
    <n v="0"/>
    <x v="1"/>
    <x v="3"/>
    <x v="1"/>
    <x v="1"/>
    <n v="1636"/>
    <x v="10"/>
    <x v="1"/>
  </r>
  <r>
    <n v="406"/>
    <d v="2021-11-22T00:00:00"/>
    <x v="1"/>
    <x v="0"/>
    <x v="4"/>
    <x v="1"/>
    <n v="0"/>
    <x v="2"/>
    <x v="3"/>
    <x v="2"/>
    <x v="5"/>
    <n v="4069"/>
    <x v="10"/>
    <x v="1"/>
  </r>
  <r>
    <n v="407"/>
    <d v="2021-11-23T00:00:00"/>
    <x v="11"/>
    <x v="0"/>
    <x v="2"/>
    <x v="4"/>
    <n v="0"/>
    <x v="3"/>
    <x v="2"/>
    <x v="0"/>
    <x v="6"/>
    <n v="493"/>
    <x v="10"/>
    <x v="1"/>
  </r>
  <r>
    <n v="408"/>
    <d v="2021-11-24T00:00:00"/>
    <x v="0"/>
    <x v="0"/>
    <x v="4"/>
    <x v="3"/>
    <n v="0"/>
    <x v="1"/>
    <x v="3"/>
    <x v="2"/>
    <x v="7"/>
    <n v="1493"/>
    <x v="10"/>
    <x v="1"/>
  </r>
  <r>
    <n v="409"/>
    <d v="2021-11-26T00:00:00"/>
    <x v="8"/>
    <x v="0"/>
    <x v="1"/>
    <x v="2"/>
    <n v="0"/>
    <x v="3"/>
    <x v="0"/>
    <x v="2"/>
    <x v="6"/>
    <n v="0"/>
    <x v="10"/>
    <x v="1"/>
  </r>
  <r>
    <n v="410"/>
    <d v="2021-11-28T00:00:00"/>
    <x v="2"/>
    <x v="1"/>
    <x v="4"/>
    <x v="6"/>
    <n v="0"/>
    <x v="1"/>
    <x v="2"/>
    <x v="1"/>
    <x v="2"/>
    <n v="449"/>
    <x v="10"/>
    <x v="1"/>
  </r>
  <r>
    <n v="411"/>
    <d v="2021-11-30T00:00:00"/>
    <x v="0"/>
    <x v="0"/>
    <x v="0"/>
    <x v="8"/>
    <n v="1.5"/>
    <x v="5"/>
    <x v="1"/>
    <x v="2"/>
    <x v="2"/>
    <n v="4871"/>
    <x v="10"/>
    <x v="1"/>
  </r>
  <r>
    <n v="412"/>
    <d v="2021-12-03T00:00:00"/>
    <x v="5"/>
    <x v="1"/>
    <x v="4"/>
    <x v="4"/>
    <n v="0"/>
    <x v="5"/>
    <x v="0"/>
    <x v="1"/>
    <x v="4"/>
    <n v="0"/>
    <x v="11"/>
    <x v="1"/>
  </r>
  <r>
    <n v="413"/>
    <d v="2021-12-04T00:00:00"/>
    <x v="6"/>
    <x v="0"/>
    <x v="0"/>
    <x v="6"/>
    <n v="0"/>
    <x v="7"/>
    <x v="0"/>
    <x v="2"/>
    <x v="8"/>
    <n v="0"/>
    <x v="11"/>
    <x v="1"/>
  </r>
  <r>
    <n v="414"/>
    <d v="2021-12-06T00:00:00"/>
    <x v="9"/>
    <x v="0"/>
    <x v="4"/>
    <x v="4"/>
    <n v="0"/>
    <x v="4"/>
    <x v="3"/>
    <x v="2"/>
    <x v="4"/>
    <n v="4021"/>
    <x v="11"/>
    <x v="1"/>
  </r>
  <r>
    <n v="415"/>
    <d v="2021-12-06T00:00:00"/>
    <x v="10"/>
    <x v="0"/>
    <x v="0"/>
    <x v="6"/>
    <n v="4.5"/>
    <x v="2"/>
    <x v="1"/>
    <x v="2"/>
    <x v="8"/>
    <n v="4399"/>
    <x v="11"/>
    <x v="1"/>
  </r>
  <r>
    <n v="416"/>
    <d v="2021-12-08T00:00:00"/>
    <x v="8"/>
    <x v="0"/>
    <x v="0"/>
    <x v="1"/>
    <n v="0"/>
    <x v="6"/>
    <x v="2"/>
    <x v="0"/>
    <x v="0"/>
    <n v="324"/>
    <x v="11"/>
    <x v="1"/>
  </r>
  <r>
    <n v="417"/>
    <d v="2021-12-17T00:00:00"/>
    <x v="5"/>
    <x v="0"/>
    <x v="2"/>
    <x v="2"/>
    <n v="0"/>
    <x v="1"/>
    <x v="2"/>
    <x v="1"/>
    <x v="7"/>
    <n v="125"/>
    <x v="11"/>
    <x v="1"/>
  </r>
  <r>
    <n v="418"/>
    <d v="2021-12-20T00:00:00"/>
    <x v="7"/>
    <x v="0"/>
    <x v="1"/>
    <x v="4"/>
    <n v="0"/>
    <x v="0"/>
    <x v="3"/>
    <x v="1"/>
    <x v="4"/>
    <n v="2351"/>
    <x v="11"/>
    <x v="1"/>
  </r>
  <r>
    <n v="419"/>
    <d v="2021-12-22T00:00:00"/>
    <x v="3"/>
    <x v="0"/>
    <x v="4"/>
    <x v="4"/>
    <n v="0"/>
    <x v="5"/>
    <x v="0"/>
    <x v="1"/>
    <x v="2"/>
    <n v="0"/>
    <x v="11"/>
    <x v="1"/>
  </r>
  <r>
    <n v="420"/>
    <d v="2021-12-23T00:00:00"/>
    <x v="9"/>
    <x v="0"/>
    <x v="3"/>
    <x v="7"/>
    <n v="0"/>
    <x v="4"/>
    <x v="3"/>
    <x v="1"/>
    <x v="5"/>
    <n v="2699"/>
    <x v="11"/>
    <x v="1"/>
  </r>
  <r>
    <n v="421"/>
    <d v="2021-12-28T00:00:00"/>
    <x v="9"/>
    <x v="0"/>
    <x v="4"/>
    <x v="7"/>
    <n v="0"/>
    <x v="1"/>
    <x v="2"/>
    <x v="2"/>
    <x v="0"/>
    <n v="422"/>
    <x v="11"/>
    <x v="1"/>
  </r>
  <r>
    <n v="422"/>
    <d v="2021-12-29T00:00:00"/>
    <x v="1"/>
    <x v="0"/>
    <x v="1"/>
    <x v="2"/>
    <n v="0"/>
    <x v="8"/>
    <x v="0"/>
    <x v="2"/>
    <x v="7"/>
    <n v="0"/>
    <x v="11"/>
    <x v="1"/>
  </r>
  <r>
    <n v="423"/>
    <d v="2022-01-02T00:00:00"/>
    <x v="0"/>
    <x v="0"/>
    <x v="4"/>
    <x v="7"/>
    <n v="1"/>
    <x v="5"/>
    <x v="1"/>
    <x v="0"/>
    <x v="5"/>
    <n v="3582"/>
    <x v="0"/>
    <x v="2"/>
  </r>
  <r>
    <n v="424"/>
    <d v="2022-01-03T00:00:00"/>
    <x v="9"/>
    <x v="0"/>
    <x v="3"/>
    <x v="6"/>
    <n v="0"/>
    <x v="4"/>
    <x v="0"/>
    <x v="2"/>
    <x v="3"/>
    <n v="0"/>
    <x v="0"/>
    <x v="2"/>
  </r>
  <r>
    <n v="425"/>
    <d v="2022-01-04T00:00:00"/>
    <x v="8"/>
    <x v="0"/>
    <x v="2"/>
    <x v="8"/>
    <n v="0"/>
    <x v="0"/>
    <x v="0"/>
    <x v="0"/>
    <x v="0"/>
    <n v="0"/>
    <x v="0"/>
    <x v="2"/>
  </r>
  <r>
    <n v="426"/>
    <d v="2022-01-04T00:00:00"/>
    <x v="1"/>
    <x v="0"/>
    <x v="1"/>
    <x v="5"/>
    <n v="1.5"/>
    <x v="0"/>
    <x v="1"/>
    <x v="2"/>
    <x v="1"/>
    <n v="2459"/>
    <x v="0"/>
    <x v="2"/>
  </r>
  <r>
    <n v="427"/>
    <d v="2022-01-08T00:00:00"/>
    <x v="1"/>
    <x v="0"/>
    <x v="2"/>
    <x v="2"/>
    <n v="0"/>
    <x v="6"/>
    <x v="2"/>
    <x v="1"/>
    <x v="4"/>
    <n v="60"/>
    <x v="0"/>
    <x v="2"/>
  </r>
  <r>
    <n v="428"/>
    <d v="2022-01-09T00:00:00"/>
    <x v="7"/>
    <x v="1"/>
    <x v="1"/>
    <x v="4"/>
    <n v="4"/>
    <x v="1"/>
    <x v="1"/>
    <x v="2"/>
    <x v="3"/>
    <n v="736"/>
    <x v="0"/>
    <x v="2"/>
  </r>
  <r>
    <n v="429"/>
    <d v="2022-01-12T00:00:00"/>
    <x v="8"/>
    <x v="0"/>
    <x v="1"/>
    <x v="7"/>
    <n v="0"/>
    <x v="6"/>
    <x v="0"/>
    <x v="1"/>
    <x v="0"/>
    <n v="0"/>
    <x v="0"/>
    <x v="2"/>
  </r>
  <r>
    <n v="430"/>
    <d v="2022-01-14T00:00:00"/>
    <x v="1"/>
    <x v="0"/>
    <x v="2"/>
    <x v="0"/>
    <n v="0"/>
    <x v="8"/>
    <x v="0"/>
    <x v="2"/>
    <x v="6"/>
    <n v="0"/>
    <x v="0"/>
    <x v="2"/>
  </r>
  <r>
    <n v="431"/>
    <d v="2022-01-15T00:00:00"/>
    <x v="5"/>
    <x v="0"/>
    <x v="2"/>
    <x v="2"/>
    <n v="0"/>
    <x v="1"/>
    <x v="3"/>
    <x v="1"/>
    <x v="3"/>
    <n v="1045"/>
    <x v="0"/>
    <x v="2"/>
  </r>
  <r>
    <n v="432"/>
    <d v="2022-01-16T00:00:00"/>
    <x v="5"/>
    <x v="0"/>
    <x v="0"/>
    <x v="8"/>
    <n v="0"/>
    <x v="8"/>
    <x v="2"/>
    <x v="1"/>
    <x v="5"/>
    <n v="83"/>
    <x v="0"/>
    <x v="2"/>
  </r>
  <r>
    <n v="433"/>
    <d v="2022-01-16T00:00:00"/>
    <x v="4"/>
    <x v="0"/>
    <x v="4"/>
    <x v="8"/>
    <n v="0"/>
    <x v="7"/>
    <x v="0"/>
    <x v="2"/>
    <x v="4"/>
    <n v="0"/>
    <x v="0"/>
    <x v="2"/>
  </r>
  <r>
    <n v="434"/>
    <d v="2022-01-19T00:00:00"/>
    <x v="7"/>
    <x v="0"/>
    <x v="0"/>
    <x v="0"/>
    <n v="1.5"/>
    <x v="1"/>
    <x v="1"/>
    <x v="1"/>
    <x v="3"/>
    <n v="998"/>
    <x v="0"/>
    <x v="2"/>
  </r>
  <r>
    <n v="435"/>
    <d v="2022-01-19T00:00:00"/>
    <x v="7"/>
    <x v="0"/>
    <x v="1"/>
    <x v="0"/>
    <n v="1"/>
    <x v="5"/>
    <x v="1"/>
    <x v="1"/>
    <x v="0"/>
    <n v="2170"/>
    <x v="0"/>
    <x v="2"/>
  </r>
  <r>
    <n v="436"/>
    <d v="2022-01-20T00:00:00"/>
    <x v="0"/>
    <x v="0"/>
    <x v="3"/>
    <x v="7"/>
    <n v="0"/>
    <x v="0"/>
    <x v="2"/>
    <x v="2"/>
    <x v="2"/>
    <n v="385"/>
    <x v="0"/>
    <x v="2"/>
  </r>
  <r>
    <n v="437"/>
    <d v="2022-01-21T00:00:00"/>
    <x v="2"/>
    <x v="0"/>
    <x v="1"/>
    <x v="0"/>
    <n v="0"/>
    <x v="1"/>
    <x v="3"/>
    <x v="0"/>
    <x v="4"/>
    <n v="1277"/>
    <x v="0"/>
    <x v="2"/>
  </r>
  <r>
    <n v="438"/>
    <d v="2022-01-22T00:00:00"/>
    <x v="9"/>
    <x v="0"/>
    <x v="2"/>
    <x v="6"/>
    <n v="0"/>
    <x v="2"/>
    <x v="2"/>
    <x v="0"/>
    <x v="4"/>
    <n v="350"/>
    <x v="0"/>
    <x v="2"/>
  </r>
  <r>
    <n v="439"/>
    <d v="2022-01-27T00:00:00"/>
    <x v="8"/>
    <x v="0"/>
    <x v="4"/>
    <x v="3"/>
    <n v="0"/>
    <x v="3"/>
    <x v="3"/>
    <x v="2"/>
    <x v="2"/>
    <n v="2321"/>
    <x v="0"/>
    <x v="2"/>
  </r>
  <r>
    <n v="440"/>
    <d v="2022-01-28T00:00:00"/>
    <x v="3"/>
    <x v="0"/>
    <x v="2"/>
    <x v="1"/>
    <n v="0"/>
    <x v="5"/>
    <x v="0"/>
    <x v="1"/>
    <x v="7"/>
    <n v="0"/>
    <x v="0"/>
    <x v="2"/>
  </r>
  <r>
    <n v="441"/>
    <d v="2022-01-28T00:00:00"/>
    <x v="3"/>
    <x v="0"/>
    <x v="2"/>
    <x v="4"/>
    <n v="2.5"/>
    <x v="5"/>
    <x v="1"/>
    <x v="0"/>
    <x v="8"/>
    <n v="4947"/>
    <x v="0"/>
    <x v="2"/>
  </r>
  <r>
    <n v="442"/>
    <d v="2022-01-30T00:00:00"/>
    <x v="2"/>
    <x v="1"/>
    <x v="0"/>
    <x v="7"/>
    <n v="5"/>
    <x v="3"/>
    <x v="1"/>
    <x v="1"/>
    <x v="6"/>
    <n v="1919"/>
    <x v="0"/>
    <x v="2"/>
  </r>
  <r>
    <n v="443"/>
    <d v="2022-02-02T00:00:00"/>
    <x v="0"/>
    <x v="0"/>
    <x v="2"/>
    <x v="3"/>
    <n v="0"/>
    <x v="6"/>
    <x v="0"/>
    <x v="0"/>
    <x v="1"/>
    <n v="0"/>
    <x v="1"/>
    <x v="2"/>
  </r>
  <r>
    <n v="444"/>
    <d v="2022-02-02T00:00:00"/>
    <x v="1"/>
    <x v="0"/>
    <x v="0"/>
    <x v="3"/>
    <n v="1.5"/>
    <x v="1"/>
    <x v="1"/>
    <x v="2"/>
    <x v="3"/>
    <n v="2381"/>
    <x v="1"/>
    <x v="2"/>
  </r>
  <r>
    <n v="445"/>
    <d v="2022-02-06T00:00:00"/>
    <x v="0"/>
    <x v="0"/>
    <x v="1"/>
    <x v="1"/>
    <n v="0"/>
    <x v="2"/>
    <x v="3"/>
    <x v="0"/>
    <x v="3"/>
    <n v="534"/>
    <x v="1"/>
    <x v="2"/>
  </r>
  <r>
    <n v="446"/>
    <d v="2022-02-07T00:00:00"/>
    <x v="10"/>
    <x v="0"/>
    <x v="4"/>
    <x v="1"/>
    <n v="0"/>
    <x v="2"/>
    <x v="2"/>
    <x v="1"/>
    <x v="6"/>
    <n v="461"/>
    <x v="1"/>
    <x v="2"/>
  </r>
  <r>
    <n v="447"/>
    <d v="2022-02-08T00:00:00"/>
    <x v="9"/>
    <x v="0"/>
    <x v="2"/>
    <x v="5"/>
    <n v="0"/>
    <x v="2"/>
    <x v="0"/>
    <x v="2"/>
    <x v="3"/>
    <n v="0"/>
    <x v="1"/>
    <x v="2"/>
  </r>
  <r>
    <n v="448"/>
    <d v="2022-02-08T00:00:00"/>
    <x v="7"/>
    <x v="0"/>
    <x v="0"/>
    <x v="2"/>
    <n v="4"/>
    <x v="2"/>
    <x v="1"/>
    <x v="2"/>
    <x v="1"/>
    <n v="1392"/>
    <x v="1"/>
    <x v="2"/>
  </r>
  <r>
    <n v="449"/>
    <d v="2022-02-09T00:00:00"/>
    <x v="5"/>
    <x v="0"/>
    <x v="1"/>
    <x v="2"/>
    <n v="4"/>
    <x v="6"/>
    <x v="1"/>
    <x v="2"/>
    <x v="7"/>
    <n v="540"/>
    <x v="1"/>
    <x v="2"/>
  </r>
  <r>
    <n v="450"/>
    <d v="2022-02-09T00:00:00"/>
    <x v="1"/>
    <x v="0"/>
    <x v="2"/>
    <x v="6"/>
    <n v="0"/>
    <x v="8"/>
    <x v="2"/>
    <x v="2"/>
    <x v="3"/>
    <n v="41"/>
    <x v="1"/>
    <x v="2"/>
  </r>
  <r>
    <n v="451"/>
    <d v="2022-02-10T00:00:00"/>
    <x v="0"/>
    <x v="0"/>
    <x v="0"/>
    <x v="4"/>
    <n v="0"/>
    <x v="0"/>
    <x v="3"/>
    <x v="0"/>
    <x v="2"/>
    <n v="719"/>
    <x v="1"/>
    <x v="2"/>
  </r>
  <r>
    <n v="452"/>
    <d v="2022-02-11T00:00:00"/>
    <x v="8"/>
    <x v="0"/>
    <x v="0"/>
    <x v="1"/>
    <n v="0"/>
    <x v="2"/>
    <x v="0"/>
    <x v="2"/>
    <x v="3"/>
    <n v="0"/>
    <x v="1"/>
    <x v="2"/>
  </r>
  <r>
    <n v="453"/>
    <d v="2022-02-14T00:00:00"/>
    <x v="0"/>
    <x v="0"/>
    <x v="2"/>
    <x v="4"/>
    <n v="0"/>
    <x v="6"/>
    <x v="2"/>
    <x v="2"/>
    <x v="1"/>
    <n v="330"/>
    <x v="1"/>
    <x v="2"/>
  </r>
  <r>
    <n v="454"/>
    <d v="2022-02-14T00:00:00"/>
    <x v="0"/>
    <x v="0"/>
    <x v="0"/>
    <x v="3"/>
    <n v="4.5"/>
    <x v="7"/>
    <x v="1"/>
    <x v="0"/>
    <x v="0"/>
    <n v="855"/>
    <x v="1"/>
    <x v="2"/>
  </r>
  <r>
    <n v="455"/>
    <d v="2022-02-15T00:00:00"/>
    <x v="11"/>
    <x v="0"/>
    <x v="4"/>
    <x v="8"/>
    <n v="3.5"/>
    <x v="0"/>
    <x v="1"/>
    <x v="2"/>
    <x v="0"/>
    <n v="3824"/>
    <x v="1"/>
    <x v="2"/>
  </r>
  <r>
    <n v="456"/>
    <d v="2022-02-22T00:00:00"/>
    <x v="0"/>
    <x v="0"/>
    <x v="4"/>
    <x v="1"/>
    <n v="0"/>
    <x v="1"/>
    <x v="3"/>
    <x v="2"/>
    <x v="6"/>
    <n v="3419"/>
    <x v="1"/>
    <x v="2"/>
  </r>
  <r>
    <n v="457"/>
    <d v="2022-02-23T00:00:00"/>
    <x v="2"/>
    <x v="1"/>
    <x v="4"/>
    <x v="5"/>
    <n v="4"/>
    <x v="0"/>
    <x v="1"/>
    <x v="0"/>
    <x v="4"/>
    <n v="1594"/>
    <x v="1"/>
    <x v="2"/>
  </r>
  <r>
    <n v="458"/>
    <d v="2022-02-24T00:00:00"/>
    <x v="6"/>
    <x v="0"/>
    <x v="4"/>
    <x v="6"/>
    <n v="4.5"/>
    <x v="4"/>
    <x v="1"/>
    <x v="2"/>
    <x v="8"/>
    <n v="585"/>
    <x v="1"/>
    <x v="2"/>
  </r>
  <r>
    <n v="459"/>
    <d v="2022-02-24T00:00:00"/>
    <x v="7"/>
    <x v="0"/>
    <x v="2"/>
    <x v="0"/>
    <n v="0"/>
    <x v="6"/>
    <x v="0"/>
    <x v="2"/>
    <x v="2"/>
    <n v="0"/>
    <x v="1"/>
    <x v="2"/>
  </r>
  <r>
    <n v="460"/>
    <d v="2022-02-26T00:00:00"/>
    <x v="0"/>
    <x v="1"/>
    <x v="0"/>
    <x v="2"/>
    <n v="0"/>
    <x v="3"/>
    <x v="3"/>
    <x v="2"/>
    <x v="4"/>
    <n v="2793"/>
    <x v="1"/>
    <x v="2"/>
  </r>
  <r>
    <n v="461"/>
    <d v="2022-02-27T00:00:00"/>
    <x v="0"/>
    <x v="0"/>
    <x v="2"/>
    <x v="4"/>
    <n v="0"/>
    <x v="8"/>
    <x v="2"/>
    <x v="2"/>
    <x v="6"/>
    <n v="326"/>
    <x v="1"/>
    <x v="2"/>
  </r>
  <r>
    <n v="462"/>
    <d v="2022-02-28T00:00:00"/>
    <x v="9"/>
    <x v="0"/>
    <x v="4"/>
    <x v="3"/>
    <n v="0"/>
    <x v="7"/>
    <x v="2"/>
    <x v="2"/>
    <x v="3"/>
    <n v="314"/>
    <x v="1"/>
    <x v="2"/>
  </r>
  <r>
    <n v="463"/>
    <d v="2022-03-03T00:00:00"/>
    <x v="4"/>
    <x v="0"/>
    <x v="2"/>
    <x v="1"/>
    <n v="3.5"/>
    <x v="6"/>
    <x v="1"/>
    <x v="0"/>
    <x v="7"/>
    <n v="1769"/>
    <x v="2"/>
    <x v="2"/>
  </r>
  <r>
    <n v="464"/>
    <d v="2022-03-12T00:00:00"/>
    <x v="8"/>
    <x v="0"/>
    <x v="2"/>
    <x v="1"/>
    <n v="0"/>
    <x v="8"/>
    <x v="0"/>
    <x v="0"/>
    <x v="3"/>
    <n v="0"/>
    <x v="2"/>
    <x v="2"/>
  </r>
  <r>
    <n v="465"/>
    <d v="2022-03-12T00:00:00"/>
    <x v="5"/>
    <x v="0"/>
    <x v="1"/>
    <x v="7"/>
    <n v="4"/>
    <x v="1"/>
    <x v="1"/>
    <x v="0"/>
    <x v="6"/>
    <n v="3498"/>
    <x v="2"/>
    <x v="2"/>
  </r>
  <r>
    <n v="466"/>
    <d v="2022-03-15T00:00:00"/>
    <x v="3"/>
    <x v="0"/>
    <x v="4"/>
    <x v="5"/>
    <n v="1.5"/>
    <x v="6"/>
    <x v="1"/>
    <x v="1"/>
    <x v="5"/>
    <n v="2336"/>
    <x v="2"/>
    <x v="2"/>
  </r>
  <r>
    <n v="467"/>
    <d v="2022-03-17T00:00:00"/>
    <x v="7"/>
    <x v="0"/>
    <x v="2"/>
    <x v="2"/>
    <n v="0"/>
    <x v="8"/>
    <x v="2"/>
    <x v="2"/>
    <x v="0"/>
    <n v="114"/>
    <x v="2"/>
    <x v="2"/>
  </r>
  <r>
    <n v="468"/>
    <d v="2022-03-22T00:00:00"/>
    <x v="9"/>
    <x v="0"/>
    <x v="4"/>
    <x v="2"/>
    <n v="0"/>
    <x v="1"/>
    <x v="2"/>
    <x v="0"/>
    <x v="7"/>
    <n v="174"/>
    <x v="2"/>
    <x v="2"/>
  </r>
  <r>
    <n v="469"/>
    <d v="2022-03-22T00:00:00"/>
    <x v="9"/>
    <x v="0"/>
    <x v="0"/>
    <x v="8"/>
    <n v="0"/>
    <x v="4"/>
    <x v="3"/>
    <x v="2"/>
    <x v="7"/>
    <n v="3379"/>
    <x v="2"/>
    <x v="2"/>
  </r>
  <r>
    <n v="470"/>
    <d v="2022-03-25T00:00:00"/>
    <x v="1"/>
    <x v="0"/>
    <x v="1"/>
    <x v="8"/>
    <n v="0.5"/>
    <x v="3"/>
    <x v="1"/>
    <x v="0"/>
    <x v="5"/>
    <n v="4145"/>
    <x v="2"/>
    <x v="2"/>
  </r>
  <r>
    <n v="471"/>
    <d v="2022-03-26T00:00:00"/>
    <x v="2"/>
    <x v="0"/>
    <x v="0"/>
    <x v="8"/>
    <n v="0"/>
    <x v="6"/>
    <x v="3"/>
    <x v="1"/>
    <x v="6"/>
    <n v="4150"/>
    <x v="2"/>
    <x v="2"/>
  </r>
  <r>
    <n v="472"/>
    <d v="2022-03-28T00:00:00"/>
    <x v="2"/>
    <x v="0"/>
    <x v="2"/>
    <x v="6"/>
    <n v="0"/>
    <x v="7"/>
    <x v="2"/>
    <x v="2"/>
    <x v="1"/>
    <n v="259"/>
    <x v="2"/>
    <x v="2"/>
  </r>
  <r>
    <n v="473"/>
    <d v="2022-04-01T00:00:00"/>
    <x v="9"/>
    <x v="0"/>
    <x v="0"/>
    <x v="6"/>
    <n v="3.5"/>
    <x v="0"/>
    <x v="1"/>
    <x v="1"/>
    <x v="6"/>
    <n v="3134"/>
    <x v="3"/>
    <x v="2"/>
  </r>
  <r>
    <n v="474"/>
    <d v="2022-04-01T00:00:00"/>
    <x v="2"/>
    <x v="0"/>
    <x v="4"/>
    <x v="7"/>
    <n v="0"/>
    <x v="4"/>
    <x v="3"/>
    <x v="2"/>
    <x v="0"/>
    <n v="4130"/>
    <x v="3"/>
    <x v="2"/>
  </r>
  <r>
    <n v="475"/>
    <d v="2022-04-03T00:00:00"/>
    <x v="3"/>
    <x v="0"/>
    <x v="4"/>
    <x v="7"/>
    <n v="3.5"/>
    <x v="7"/>
    <x v="1"/>
    <x v="2"/>
    <x v="3"/>
    <n v="1424"/>
    <x v="3"/>
    <x v="2"/>
  </r>
  <r>
    <n v="476"/>
    <d v="2022-04-04T00:00:00"/>
    <x v="7"/>
    <x v="0"/>
    <x v="2"/>
    <x v="4"/>
    <n v="2"/>
    <x v="5"/>
    <x v="1"/>
    <x v="1"/>
    <x v="5"/>
    <n v="4908"/>
    <x v="3"/>
    <x v="2"/>
  </r>
  <r>
    <n v="477"/>
    <d v="2022-04-06T00:00:00"/>
    <x v="7"/>
    <x v="0"/>
    <x v="0"/>
    <x v="6"/>
    <n v="0"/>
    <x v="7"/>
    <x v="2"/>
    <x v="0"/>
    <x v="7"/>
    <n v="162"/>
    <x v="3"/>
    <x v="2"/>
  </r>
  <r>
    <n v="478"/>
    <d v="2022-04-07T00:00:00"/>
    <x v="6"/>
    <x v="0"/>
    <x v="1"/>
    <x v="6"/>
    <n v="0"/>
    <x v="5"/>
    <x v="3"/>
    <x v="1"/>
    <x v="7"/>
    <n v="4149"/>
    <x v="3"/>
    <x v="2"/>
  </r>
  <r>
    <n v="479"/>
    <d v="2022-04-07T00:00:00"/>
    <x v="3"/>
    <x v="0"/>
    <x v="2"/>
    <x v="7"/>
    <n v="0"/>
    <x v="5"/>
    <x v="0"/>
    <x v="2"/>
    <x v="4"/>
    <n v="0"/>
    <x v="3"/>
    <x v="2"/>
  </r>
  <r>
    <n v="480"/>
    <d v="2022-04-08T00:00:00"/>
    <x v="6"/>
    <x v="0"/>
    <x v="4"/>
    <x v="4"/>
    <n v="0"/>
    <x v="7"/>
    <x v="0"/>
    <x v="0"/>
    <x v="5"/>
    <n v="0"/>
    <x v="3"/>
    <x v="2"/>
  </r>
  <r>
    <n v="481"/>
    <d v="2022-04-08T00:00:00"/>
    <x v="6"/>
    <x v="0"/>
    <x v="0"/>
    <x v="8"/>
    <n v="0"/>
    <x v="3"/>
    <x v="3"/>
    <x v="0"/>
    <x v="6"/>
    <n v="1174"/>
    <x v="3"/>
    <x v="2"/>
  </r>
  <r>
    <n v="482"/>
    <d v="2022-04-12T00:00:00"/>
    <x v="10"/>
    <x v="0"/>
    <x v="1"/>
    <x v="0"/>
    <n v="1.5"/>
    <x v="4"/>
    <x v="1"/>
    <x v="0"/>
    <x v="2"/>
    <n v="1777"/>
    <x v="3"/>
    <x v="2"/>
  </r>
  <r>
    <n v="483"/>
    <d v="2022-04-17T00:00:00"/>
    <x v="5"/>
    <x v="0"/>
    <x v="2"/>
    <x v="3"/>
    <n v="0"/>
    <x v="7"/>
    <x v="2"/>
    <x v="1"/>
    <x v="8"/>
    <n v="59"/>
    <x v="3"/>
    <x v="2"/>
  </r>
  <r>
    <n v="484"/>
    <d v="2022-04-20T00:00:00"/>
    <x v="6"/>
    <x v="0"/>
    <x v="4"/>
    <x v="1"/>
    <n v="0"/>
    <x v="2"/>
    <x v="0"/>
    <x v="2"/>
    <x v="5"/>
    <n v="0"/>
    <x v="3"/>
    <x v="2"/>
  </r>
  <r>
    <n v="485"/>
    <d v="2022-04-24T00:00:00"/>
    <x v="10"/>
    <x v="0"/>
    <x v="0"/>
    <x v="5"/>
    <n v="0"/>
    <x v="1"/>
    <x v="3"/>
    <x v="0"/>
    <x v="1"/>
    <n v="1848"/>
    <x v="3"/>
    <x v="2"/>
  </r>
  <r>
    <n v="486"/>
    <d v="2022-04-24T00:00:00"/>
    <x v="2"/>
    <x v="0"/>
    <x v="4"/>
    <x v="8"/>
    <n v="0"/>
    <x v="0"/>
    <x v="0"/>
    <x v="1"/>
    <x v="6"/>
    <n v="0"/>
    <x v="3"/>
    <x v="2"/>
  </r>
  <r>
    <n v="487"/>
    <d v="2022-04-27T00:00:00"/>
    <x v="5"/>
    <x v="0"/>
    <x v="1"/>
    <x v="8"/>
    <n v="0"/>
    <x v="6"/>
    <x v="3"/>
    <x v="1"/>
    <x v="2"/>
    <n v="1696"/>
    <x v="3"/>
    <x v="2"/>
  </r>
  <r>
    <n v="488"/>
    <d v="2022-04-27T00:00:00"/>
    <x v="1"/>
    <x v="0"/>
    <x v="3"/>
    <x v="6"/>
    <n v="0"/>
    <x v="6"/>
    <x v="2"/>
    <x v="2"/>
    <x v="3"/>
    <n v="5"/>
    <x v="3"/>
    <x v="2"/>
  </r>
  <r>
    <n v="489"/>
    <d v="2022-04-29T00:00:00"/>
    <x v="9"/>
    <x v="0"/>
    <x v="4"/>
    <x v="8"/>
    <n v="0"/>
    <x v="3"/>
    <x v="0"/>
    <x v="2"/>
    <x v="6"/>
    <n v="0"/>
    <x v="3"/>
    <x v="2"/>
  </r>
  <r>
    <n v="490"/>
    <d v="2022-05-03T00:00:00"/>
    <x v="7"/>
    <x v="1"/>
    <x v="0"/>
    <x v="1"/>
    <n v="0"/>
    <x v="8"/>
    <x v="3"/>
    <x v="0"/>
    <x v="2"/>
    <n v="2795"/>
    <x v="4"/>
    <x v="2"/>
  </r>
  <r>
    <n v="491"/>
    <d v="2022-05-06T00:00:00"/>
    <x v="9"/>
    <x v="0"/>
    <x v="0"/>
    <x v="0"/>
    <n v="0"/>
    <x v="7"/>
    <x v="0"/>
    <x v="1"/>
    <x v="1"/>
    <n v="0"/>
    <x v="4"/>
    <x v="2"/>
  </r>
  <r>
    <n v="492"/>
    <d v="2022-05-07T00:00:00"/>
    <x v="8"/>
    <x v="0"/>
    <x v="4"/>
    <x v="1"/>
    <n v="0"/>
    <x v="1"/>
    <x v="0"/>
    <x v="0"/>
    <x v="8"/>
    <n v="0"/>
    <x v="4"/>
    <x v="2"/>
  </r>
  <r>
    <n v="493"/>
    <d v="2022-05-08T00:00:00"/>
    <x v="2"/>
    <x v="0"/>
    <x v="0"/>
    <x v="8"/>
    <n v="0"/>
    <x v="7"/>
    <x v="2"/>
    <x v="1"/>
    <x v="6"/>
    <n v="277"/>
    <x v="4"/>
    <x v="2"/>
  </r>
  <r>
    <n v="494"/>
    <d v="2022-05-11T00:00:00"/>
    <x v="2"/>
    <x v="0"/>
    <x v="4"/>
    <x v="6"/>
    <n v="0"/>
    <x v="0"/>
    <x v="2"/>
    <x v="0"/>
    <x v="3"/>
    <n v="189"/>
    <x v="4"/>
    <x v="2"/>
  </r>
  <r>
    <n v="495"/>
    <d v="2022-05-16T00:00:00"/>
    <x v="9"/>
    <x v="0"/>
    <x v="2"/>
    <x v="3"/>
    <n v="2.5"/>
    <x v="5"/>
    <x v="1"/>
    <x v="2"/>
    <x v="5"/>
    <n v="4563"/>
    <x v="4"/>
    <x v="2"/>
  </r>
  <r>
    <n v="496"/>
    <d v="2022-05-17T00:00:00"/>
    <x v="9"/>
    <x v="0"/>
    <x v="0"/>
    <x v="7"/>
    <n v="0"/>
    <x v="7"/>
    <x v="2"/>
    <x v="0"/>
    <x v="2"/>
    <n v="341"/>
    <x v="4"/>
    <x v="2"/>
  </r>
  <r>
    <n v="497"/>
    <d v="2022-05-19T00:00:00"/>
    <x v="5"/>
    <x v="0"/>
    <x v="0"/>
    <x v="2"/>
    <n v="0"/>
    <x v="2"/>
    <x v="0"/>
    <x v="1"/>
    <x v="7"/>
    <n v="0"/>
    <x v="4"/>
    <x v="2"/>
  </r>
  <r>
    <n v="498"/>
    <d v="2022-05-23T00:00:00"/>
    <x v="1"/>
    <x v="0"/>
    <x v="0"/>
    <x v="0"/>
    <n v="0"/>
    <x v="5"/>
    <x v="3"/>
    <x v="1"/>
    <x v="8"/>
    <n v="1824"/>
    <x v="4"/>
    <x v="2"/>
  </r>
  <r>
    <n v="499"/>
    <d v="2022-05-26T00:00:00"/>
    <x v="0"/>
    <x v="0"/>
    <x v="4"/>
    <x v="2"/>
    <n v="0"/>
    <x v="5"/>
    <x v="3"/>
    <x v="2"/>
    <x v="1"/>
    <n v="1643"/>
    <x v="4"/>
    <x v="2"/>
  </r>
  <r>
    <n v="500"/>
    <d v="2022-05-27T00:00:00"/>
    <x v="2"/>
    <x v="0"/>
    <x v="4"/>
    <x v="7"/>
    <n v="0"/>
    <x v="2"/>
    <x v="2"/>
    <x v="0"/>
    <x v="2"/>
    <n v="115"/>
    <x v="4"/>
    <x v="2"/>
  </r>
  <r>
    <n v="501"/>
    <d v="2022-05-30T00:00:00"/>
    <x v="5"/>
    <x v="0"/>
    <x v="4"/>
    <x v="0"/>
    <n v="1"/>
    <x v="8"/>
    <x v="1"/>
    <x v="2"/>
    <x v="0"/>
    <n v="1449"/>
    <x v="4"/>
    <x v="2"/>
  </r>
  <r>
    <n v="502"/>
    <d v="2022-05-31T00:00:00"/>
    <x v="5"/>
    <x v="0"/>
    <x v="0"/>
    <x v="6"/>
    <n v="0"/>
    <x v="4"/>
    <x v="3"/>
    <x v="0"/>
    <x v="0"/>
    <n v="2764"/>
    <x v="4"/>
    <x v="2"/>
  </r>
  <r>
    <n v="503"/>
    <d v="2022-06-03T00:00:00"/>
    <x v="7"/>
    <x v="0"/>
    <x v="2"/>
    <x v="4"/>
    <n v="0"/>
    <x v="1"/>
    <x v="0"/>
    <x v="0"/>
    <x v="5"/>
    <n v="0"/>
    <x v="5"/>
    <x v="2"/>
  </r>
  <r>
    <n v="504"/>
    <d v="2022-06-03T00:00:00"/>
    <x v="11"/>
    <x v="0"/>
    <x v="2"/>
    <x v="7"/>
    <n v="0"/>
    <x v="4"/>
    <x v="2"/>
    <x v="1"/>
    <x v="5"/>
    <n v="67"/>
    <x v="5"/>
    <x v="2"/>
  </r>
  <r>
    <n v="505"/>
    <d v="2022-06-03T00:00:00"/>
    <x v="3"/>
    <x v="0"/>
    <x v="4"/>
    <x v="0"/>
    <n v="0"/>
    <x v="2"/>
    <x v="3"/>
    <x v="0"/>
    <x v="7"/>
    <n v="4639"/>
    <x v="5"/>
    <x v="2"/>
  </r>
  <r>
    <n v="506"/>
    <d v="2022-06-05T00:00:00"/>
    <x v="7"/>
    <x v="0"/>
    <x v="2"/>
    <x v="8"/>
    <n v="0"/>
    <x v="0"/>
    <x v="0"/>
    <x v="1"/>
    <x v="4"/>
    <n v="0"/>
    <x v="5"/>
    <x v="2"/>
  </r>
  <r>
    <n v="507"/>
    <d v="2022-06-07T00:00:00"/>
    <x v="10"/>
    <x v="0"/>
    <x v="3"/>
    <x v="5"/>
    <n v="0"/>
    <x v="4"/>
    <x v="0"/>
    <x v="1"/>
    <x v="6"/>
    <n v="0"/>
    <x v="5"/>
    <x v="2"/>
  </r>
  <r>
    <n v="508"/>
    <d v="2022-06-10T00:00:00"/>
    <x v="0"/>
    <x v="1"/>
    <x v="0"/>
    <x v="8"/>
    <n v="0"/>
    <x v="5"/>
    <x v="3"/>
    <x v="1"/>
    <x v="2"/>
    <n v="2356"/>
    <x v="5"/>
    <x v="2"/>
  </r>
  <r>
    <n v="509"/>
    <d v="2022-06-25T00:00:00"/>
    <x v="5"/>
    <x v="0"/>
    <x v="0"/>
    <x v="0"/>
    <n v="0"/>
    <x v="0"/>
    <x v="3"/>
    <x v="1"/>
    <x v="4"/>
    <n v="2184"/>
    <x v="5"/>
    <x v="2"/>
  </r>
  <r>
    <n v="510"/>
    <d v="2022-06-26T00:00:00"/>
    <x v="9"/>
    <x v="1"/>
    <x v="0"/>
    <x v="5"/>
    <n v="0"/>
    <x v="4"/>
    <x v="2"/>
    <x v="2"/>
    <x v="2"/>
    <n v="77"/>
    <x v="5"/>
    <x v="2"/>
  </r>
  <r>
    <n v="511"/>
    <d v="2022-06-27T00:00:00"/>
    <x v="8"/>
    <x v="0"/>
    <x v="2"/>
    <x v="4"/>
    <n v="0"/>
    <x v="5"/>
    <x v="0"/>
    <x v="0"/>
    <x v="8"/>
    <n v="0"/>
    <x v="5"/>
    <x v="2"/>
  </r>
  <r>
    <n v="512"/>
    <d v="2022-06-28T00:00:00"/>
    <x v="8"/>
    <x v="0"/>
    <x v="4"/>
    <x v="2"/>
    <n v="0"/>
    <x v="5"/>
    <x v="0"/>
    <x v="0"/>
    <x v="4"/>
    <n v="0"/>
    <x v="5"/>
    <x v="2"/>
  </r>
  <r>
    <n v="513"/>
    <d v="2022-06-28T00:00:00"/>
    <x v="11"/>
    <x v="0"/>
    <x v="2"/>
    <x v="3"/>
    <n v="0"/>
    <x v="5"/>
    <x v="3"/>
    <x v="2"/>
    <x v="2"/>
    <n v="804"/>
    <x v="5"/>
    <x v="2"/>
  </r>
  <r>
    <n v="514"/>
    <d v="2022-06-28T00:00:00"/>
    <x v="8"/>
    <x v="0"/>
    <x v="4"/>
    <x v="1"/>
    <n v="0"/>
    <x v="6"/>
    <x v="3"/>
    <x v="0"/>
    <x v="8"/>
    <n v="706"/>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8"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AI2:AK19" firstHeaderRow="1" firstDataRow="1" firstDataCol="0"/>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14179-151D-40C7-A12A-4C1EAC0DFC7F}"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45:B50"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axis="axisRow"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8"/>
  </rowFields>
  <rowItems count="5">
    <i>
      <x/>
    </i>
    <i>
      <x v="1"/>
    </i>
    <i>
      <x v="2"/>
    </i>
    <i>
      <x v="3"/>
    </i>
    <i t="grand">
      <x/>
    </i>
  </rowItems>
  <colItems count="1">
    <i/>
  </colItems>
  <dataFields count="1">
    <dataField name="Count of S.No"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Incident Type">
  <location ref="S19:T29"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axis="axisRow"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5"/>
  </rowFields>
  <rowItems count="10">
    <i>
      <x/>
    </i>
    <i>
      <x v="1"/>
    </i>
    <i>
      <x v="2"/>
    </i>
    <i>
      <x v="3"/>
    </i>
    <i>
      <x v="4"/>
    </i>
    <i>
      <x v="5"/>
    </i>
    <i>
      <x v="6"/>
    </i>
    <i>
      <x v="7"/>
    </i>
    <i>
      <x v="8"/>
    </i>
    <i t="grand">
      <x/>
    </i>
  </rowItems>
  <colItems count="1">
    <i/>
  </colItems>
  <dataFields count="1">
    <dataField name="Total %_Incidents" fld="0" subtotal="count" showDataAs="percentOfTotal" baseField="5" baseItem="0" numFmtId="1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02B144-428E-4E1E-913D-4750FA56DB8A}"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40:B41" firstHeaderRow="0" firstDataRow="1" firstDataCol="0"/>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dataField="1" numFmtId="164" showAll="0"/>
    <pivotField showAll="0"/>
    <pivotField numFmtId="1" showAll="0">
      <items count="4">
        <item x="0"/>
        <item x="1"/>
        <item x="2"/>
        <item t="default"/>
      </items>
    </pivotField>
  </pivotFields>
  <rowItems count="1">
    <i/>
  </rowItems>
  <colFields count="1">
    <field x="-2"/>
  </colFields>
  <colItems count="2">
    <i>
      <x/>
    </i>
    <i i="1">
      <x v="1"/>
    </i>
  </colItems>
  <dataFields count="2">
    <dataField name="Sum of Incident Cost" fld="11" baseField="0" baseItem="0"/>
    <dataField name="Count of S.No"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Age Group">
  <location ref="AB12:AC18"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axis="axisRow" showAll="0">
      <items count="6">
        <item x="3"/>
        <item x="4"/>
        <item x="0"/>
        <item x="2"/>
        <item x="1"/>
        <item t="default"/>
      </items>
    </pivotField>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4"/>
  </rowFields>
  <rowItems count="6">
    <i>
      <x/>
    </i>
    <i>
      <x v="1"/>
    </i>
    <i>
      <x v="2"/>
    </i>
    <i>
      <x v="3"/>
    </i>
    <i>
      <x v="4"/>
    </i>
    <i t="grand">
      <x/>
    </i>
  </rowItems>
  <colItems count="1">
    <i/>
  </colItems>
  <dataFields count="1">
    <dataField name="Total Incidents" fld="0" subtotal="count" baseField="4"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rowHeaderCaption="Month">
  <location ref="A2:B15"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axis="axisRow" showAll="0">
      <items count="13">
        <item x="0"/>
        <item x="1"/>
        <item x="2"/>
        <item x="3"/>
        <item x="4"/>
        <item x="5"/>
        <item x="6"/>
        <item x="7"/>
        <item x="8"/>
        <item x="9"/>
        <item x="10"/>
        <item x="11"/>
        <item t="default"/>
      </items>
    </pivotField>
    <pivotField numFmtId="1" showAll="0">
      <items count="4">
        <item x="0"/>
        <item x="1"/>
        <item x="2"/>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Total Incidents" fld="0" subtotal="count" baseField="12"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11"/>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58B80E-9FE1-4921-9096-81ECA02448F3}"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7:A38" firstHeaderRow="1" firstDataRow="1" firstDataCol="0"/>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dataField="1" numFmtId="164" showAll="0"/>
    <pivotField showAll="0"/>
    <pivotField numFmtId="1" showAll="0">
      <items count="4">
        <item x="0"/>
        <item x="1"/>
        <item x="2"/>
        <item t="default"/>
      </items>
    </pivotField>
  </pivotFields>
  <rowItems count="1">
    <i/>
  </rowItems>
  <colItems count="1">
    <i/>
  </colItems>
  <dataFields count="1">
    <dataField name="Sum of Incident Cos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Departments">
  <location ref="S2:T12"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axis="axisRow" showAll="0" sortType="descending">
      <items count="10">
        <item x="2"/>
        <item x="1"/>
        <item x="7"/>
        <item x="5"/>
        <item x="8"/>
        <item x="0"/>
        <item x="4"/>
        <item x="3"/>
        <item x="6"/>
        <item t="default"/>
      </items>
      <autoSortScope>
        <pivotArea dataOnly="0" outline="0" fieldPosition="0">
          <references count="1">
            <reference field="4294967294" count="1" selected="0">
              <x v="0"/>
            </reference>
          </references>
        </pivotArea>
      </autoSortScope>
    </pivotField>
    <pivotField numFmtId="164" showAll="0"/>
    <pivotField showAll="0"/>
    <pivotField numFmtId="1" showAll="0">
      <items count="4">
        <item x="0"/>
        <item x="1"/>
        <item x="2"/>
        <item t="default"/>
      </items>
    </pivotField>
  </pivotFields>
  <rowFields count="1">
    <field x="10"/>
  </rowFields>
  <rowItems count="10">
    <i>
      <x v="8"/>
    </i>
    <i>
      <x/>
    </i>
    <i>
      <x v="3"/>
    </i>
    <i>
      <x v="5"/>
    </i>
    <i>
      <x v="7"/>
    </i>
    <i>
      <x v="2"/>
    </i>
    <i>
      <x v="4"/>
    </i>
    <i>
      <x v="1"/>
    </i>
    <i>
      <x v="6"/>
    </i>
    <i t="grand">
      <x/>
    </i>
  </rowItems>
  <colItems count="1">
    <i/>
  </colItems>
  <dataFields count="1">
    <dataField name="Total Incidents" fld="0" subtotal="count"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0"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5" rowHeaderCaption="Month">
  <location ref="A18:B31" firstHeaderRow="1" firstDataRow="1" firstDataCol="1"/>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sortType="descending">
      <items count="10">
        <item x="6"/>
        <item x="3"/>
        <item x="4"/>
        <item x="0"/>
        <item x="8"/>
        <item x="5"/>
        <item x="7"/>
        <item x="1"/>
        <item x="2"/>
        <item t="default"/>
      </items>
    </pivotField>
    <pivotField dataField="1" numFmtId="164" showAll="0"/>
    <pivotField axis="axisRow" showAll="0">
      <items count="13">
        <item x="0"/>
        <item x="1"/>
        <item x="2"/>
        <item x="3"/>
        <item x="4"/>
        <item x="5"/>
        <item x="6"/>
        <item x="7"/>
        <item x="8"/>
        <item x="9"/>
        <item x="10"/>
        <item x="11"/>
        <item t="default"/>
      </items>
    </pivotField>
    <pivotField numFmtId="1" showAll="0">
      <items count="4">
        <item x="0"/>
        <item x="1"/>
        <item x="2"/>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Total Incident Cost" fld="11"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11"/>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rowHeaderCaption="Plant">
  <location ref="AJ24:AT35" firstHeaderRow="1" firstDataRow="2"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axis="axisRow"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axis="axisCol"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7"/>
  </rowFields>
  <rowItems count="10">
    <i>
      <x/>
    </i>
    <i>
      <x v="1"/>
    </i>
    <i>
      <x v="2"/>
    </i>
    <i>
      <x v="3"/>
    </i>
    <i>
      <x v="4"/>
    </i>
    <i>
      <x v="5"/>
    </i>
    <i>
      <x v="6"/>
    </i>
    <i>
      <x v="7"/>
    </i>
    <i>
      <x v="8"/>
    </i>
    <i t="grand">
      <x/>
    </i>
  </rowItems>
  <colFields count="1">
    <field x="10"/>
  </colFields>
  <colItems count="10">
    <i>
      <x/>
    </i>
    <i>
      <x v="1"/>
    </i>
    <i>
      <x v="2"/>
    </i>
    <i>
      <x v="3"/>
    </i>
    <i>
      <x v="4"/>
    </i>
    <i>
      <x v="5"/>
    </i>
    <i>
      <x v="6"/>
    </i>
    <i>
      <x v="7"/>
    </i>
    <i>
      <x v="8"/>
    </i>
    <i t="grand">
      <x/>
    </i>
  </colItems>
  <dataFields count="1">
    <dataField name="Sum of S.No"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Shift">
  <location ref="AB2:AC6"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9"/>
  </rowFields>
  <rowItems count="4">
    <i>
      <x v="1"/>
    </i>
    <i>
      <x v="2"/>
    </i>
    <i>
      <x/>
    </i>
    <i t="grand">
      <x/>
    </i>
  </rowItems>
  <colItems count="1">
    <i/>
  </colItems>
  <dataFields count="1">
    <dataField name="Total Incidents" fld="0" subtotal="count" baseField="9"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rowHeaderCaption="Plant">
  <location ref="AB24:AC34" firstHeaderRow="1" firstDataRow="1" firstDataCol="1"/>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dataField="1" showAll="0"/>
    <pivotField axis="axisRow" showAll="0" sortType="descending">
      <items count="10">
        <item x="0"/>
        <item x="8"/>
        <item x="2"/>
        <item x="4"/>
        <item x="6"/>
        <item x="5"/>
        <item x="7"/>
        <item x="1"/>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7"/>
  </rowFields>
  <rowItems count="10">
    <i>
      <x v="4"/>
    </i>
    <i>
      <x/>
    </i>
    <i>
      <x v="8"/>
    </i>
    <i>
      <x v="6"/>
    </i>
    <i>
      <x v="5"/>
    </i>
    <i>
      <x v="2"/>
    </i>
    <i>
      <x v="3"/>
    </i>
    <i>
      <x v="7"/>
    </i>
    <i>
      <x v="1"/>
    </i>
    <i t="grand">
      <x/>
    </i>
  </rowItems>
  <colItems count="1">
    <i/>
  </colItems>
  <dataFields count="1">
    <dataField name="Total Days Lost" fld="6" baseField="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40D9C8-E766-484E-9503-628591B7C45C}"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4:A35" firstHeaderRow="1" firstDataRow="1" firstDataCol="0"/>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Items count="1">
    <i/>
  </rowItems>
  <colItems count="1">
    <i/>
  </colItem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Plant">
  <location ref="J18:K28" firstHeaderRow="1" firstDataRow="1" firstDataCol="1"/>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axis="axisRow" showAll="0" sortType="ascending">
      <items count="10">
        <item x="0"/>
        <item x="8"/>
        <item x="2"/>
        <item x="4"/>
        <item x="6"/>
        <item x="5"/>
        <item x="7"/>
        <item x="1"/>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dataField="1" numFmtId="164" showAll="0"/>
    <pivotField showAll="0"/>
    <pivotField numFmtId="1" showAll="0">
      <items count="4">
        <item x="0"/>
        <item x="1"/>
        <item x="2"/>
        <item t="default"/>
      </items>
    </pivotField>
  </pivotFields>
  <rowFields count="1">
    <field x="7"/>
  </rowFields>
  <rowItems count="10">
    <i>
      <x v="3"/>
    </i>
    <i>
      <x v="8"/>
    </i>
    <i>
      <x v="7"/>
    </i>
    <i>
      <x/>
    </i>
    <i>
      <x v="1"/>
    </i>
    <i>
      <x v="4"/>
    </i>
    <i>
      <x v="6"/>
    </i>
    <i>
      <x v="2"/>
    </i>
    <i>
      <x v="5"/>
    </i>
    <i t="grand">
      <x/>
    </i>
  </rowItems>
  <colItems count="1">
    <i/>
  </colItems>
  <dataFields count="1">
    <dataField name="Total Incident Cost" fld="11"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6"/>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0"/>
          </reference>
        </references>
      </pivotArea>
    </chartFormat>
    <chartFormat chart="0" format="7">
      <pivotArea type="data" outline="0" fieldPosition="0">
        <references count="2">
          <reference field="4294967294" count="1" selected="0">
            <x v="0"/>
          </reference>
          <reference field="7" count="1" selected="0">
            <x v="7"/>
          </reference>
        </references>
      </pivotArea>
    </chartFormat>
    <chartFormat chart="0" format="8">
      <pivotArea type="data" outline="0" fieldPosition="0">
        <references count="2">
          <reference field="4294967294" count="1" selected="0">
            <x v="0"/>
          </reference>
          <reference field="7" count="1" selected="0">
            <x v="8"/>
          </reference>
        </references>
      </pivotArea>
    </chartFormat>
    <chartFormat chart="0" format="9">
      <pivotArea type="data" outline="0" fieldPosition="0">
        <references count="2">
          <reference field="4294967294" count="1" selected="0">
            <x v="0"/>
          </reference>
          <reference field="7" count="1" selected="0">
            <x v="3"/>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7" count="1" selected="0">
            <x v="3"/>
          </reference>
        </references>
      </pivotArea>
    </chartFormat>
    <chartFormat chart="2" format="22">
      <pivotArea type="data" outline="0" fieldPosition="0">
        <references count="2">
          <reference field="4294967294" count="1" selected="0">
            <x v="0"/>
          </reference>
          <reference field="7" count="1" selected="0">
            <x v="8"/>
          </reference>
        </references>
      </pivotArea>
    </chartFormat>
    <chartFormat chart="2" format="23">
      <pivotArea type="data" outline="0" fieldPosition="0">
        <references count="2">
          <reference field="4294967294" count="1" selected="0">
            <x v="0"/>
          </reference>
          <reference field="7" count="1" selected="0">
            <x v="7"/>
          </reference>
        </references>
      </pivotArea>
    </chartFormat>
    <chartFormat chart="2" format="24">
      <pivotArea type="data" outline="0" fieldPosition="0">
        <references count="2">
          <reference field="4294967294" count="1" selected="0">
            <x v="0"/>
          </reference>
          <reference field="7" count="1" selected="0">
            <x v="0"/>
          </reference>
        </references>
      </pivotArea>
    </chartFormat>
    <chartFormat chart="2" format="25">
      <pivotArea type="data" outline="0" fieldPosition="0">
        <references count="2">
          <reference field="4294967294" count="1" selected="0">
            <x v="0"/>
          </reference>
          <reference field="7" count="1" selected="0">
            <x v="1"/>
          </reference>
        </references>
      </pivotArea>
    </chartFormat>
    <chartFormat chart="2" format="26">
      <pivotArea type="data" outline="0" fieldPosition="0">
        <references count="2">
          <reference field="4294967294" count="1" selected="0">
            <x v="0"/>
          </reference>
          <reference field="7" count="1" selected="0">
            <x v="4"/>
          </reference>
        </references>
      </pivotArea>
    </chartFormat>
    <chartFormat chart="2" format="27">
      <pivotArea type="data" outline="0" fieldPosition="0">
        <references count="2">
          <reference field="4294967294" count="1" selected="0">
            <x v="0"/>
          </reference>
          <reference field="7" count="1" selected="0">
            <x v="6"/>
          </reference>
        </references>
      </pivotArea>
    </chartFormat>
    <chartFormat chart="2" format="28">
      <pivotArea type="data" outline="0" fieldPosition="0">
        <references count="2">
          <reference field="4294967294" count="1" selected="0">
            <x v="0"/>
          </reference>
          <reference field="7" count="1" selected="0">
            <x v="2"/>
          </reference>
        </references>
      </pivotArea>
    </chartFormat>
    <chartFormat chart="2" format="29">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Plant">
  <location ref="J2:K12" firstHeaderRow="1" firstDataRow="1" firstDataCol="1"/>
  <pivotFields count="14">
    <pivotField dataField="1"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axis="axisRow" showAll="0" sortType="ascending">
      <items count="10">
        <item x="0"/>
        <item x="8"/>
        <item x="2"/>
        <item x="4"/>
        <item x="6"/>
        <item x="5"/>
        <item x="7"/>
        <item x="1"/>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rowFields count="1">
    <field x="7"/>
  </rowFields>
  <rowItems count="10">
    <i>
      <x/>
    </i>
    <i>
      <x v="3"/>
    </i>
    <i>
      <x v="7"/>
    </i>
    <i>
      <x v="4"/>
    </i>
    <i>
      <x v="8"/>
    </i>
    <i>
      <x v="2"/>
    </i>
    <i>
      <x v="5"/>
    </i>
    <i>
      <x v="1"/>
    </i>
    <i>
      <x v="6"/>
    </i>
    <i t="grand">
      <x/>
    </i>
  </rowItems>
  <colItems count="1">
    <i/>
  </colItems>
  <dataFields count="1">
    <dataField name="Total Incidents" fld="0" subtotal="count" baseField="7"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8"/>
          </reference>
        </references>
      </pivotArea>
    </chartFormat>
    <chartFormat chart="0" format="2">
      <pivotArea type="data" outline="0" fieldPosition="0">
        <references count="2">
          <reference field="4294967294" count="1" selected="0">
            <x v="0"/>
          </reference>
          <reference field="7" count="1" selected="0">
            <x v="7"/>
          </reference>
        </references>
      </pivotArea>
    </chartFormat>
    <chartFormat chart="0" format="3">
      <pivotArea type="data" outline="0" fieldPosition="0">
        <references count="2">
          <reference field="4294967294" count="1" selected="0">
            <x v="0"/>
          </reference>
          <reference field="7" count="1" selected="0">
            <x v="6"/>
          </reference>
        </references>
      </pivotArea>
    </chartFormat>
    <chartFormat chart="0" format="4">
      <pivotArea type="data" outline="0" fieldPosition="0">
        <references count="2">
          <reference field="4294967294" count="1" selected="0">
            <x v="0"/>
          </reference>
          <reference field="7" count="1" selected="0">
            <x v="5"/>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0"/>
          </reference>
          <reference field="7" count="1" selected="0">
            <x v="4"/>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0"/>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7" count="1" selected="0">
            <x v="0"/>
          </reference>
        </references>
      </pivotArea>
    </chartFormat>
    <chartFormat chart="2" format="22">
      <pivotArea type="data" outline="0" fieldPosition="0">
        <references count="2">
          <reference field="4294967294" count="1" selected="0">
            <x v="0"/>
          </reference>
          <reference field="7" count="1" selected="0">
            <x v="3"/>
          </reference>
        </references>
      </pivotArea>
    </chartFormat>
    <chartFormat chart="2" format="23">
      <pivotArea type="data" outline="0" fieldPosition="0">
        <references count="2">
          <reference field="4294967294" count="1" selected="0">
            <x v="0"/>
          </reference>
          <reference field="7" count="1" selected="0">
            <x v="7"/>
          </reference>
        </references>
      </pivotArea>
    </chartFormat>
    <chartFormat chart="2" format="24">
      <pivotArea type="data" outline="0" fieldPosition="0">
        <references count="2">
          <reference field="4294967294" count="1" selected="0">
            <x v="0"/>
          </reference>
          <reference field="7" count="1" selected="0">
            <x v="4"/>
          </reference>
        </references>
      </pivotArea>
    </chartFormat>
    <chartFormat chart="2" format="25">
      <pivotArea type="data" outline="0" fieldPosition="0">
        <references count="2">
          <reference field="4294967294" count="1" selected="0">
            <x v="0"/>
          </reference>
          <reference field="7" count="1" selected="0">
            <x v="8"/>
          </reference>
        </references>
      </pivotArea>
    </chartFormat>
    <chartFormat chart="2" format="26">
      <pivotArea type="data" outline="0" fieldPosition="0">
        <references count="2">
          <reference field="4294967294" count="1" selected="0">
            <x v="0"/>
          </reference>
          <reference field="7" count="1" selected="0">
            <x v="2"/>
          </reference>
        </references>
      </pivotArea>
    </chartFormat>
    <chartFormat chart="2" format="27">
      <pivotArea type="data" outline="0" fieldPosition="0">
        <references count="2">
          <reference field="4294967294" count="1" selected="0">
            <x v="0"/>
          </reference>
          <reference field="7" count="1" selected="0">
            <x v="5"/>
          </reference>
        </references>
      </pivotArea>
    </chartFormat>
    <chartFormat chart="2" format="28">
      <pivotArea type="data" outline="0" fieldPosition="0">
        <references count="2">
          <reference field="4294967294" count="1" selected="0">
            <x v="0"/>
          </reference>
          <reference field="7" count="1" selected="0">
            <x v="1"/>
          </reference>
        </references>
      </pivotArea>
    </chartFormat>
    <chartFormat chart="2" format="29">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19"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C20" firstHeaderRow="1" firstDataRow="1" firstDataCol="0"/>
  <pivotFields count="14">
    <pivotField numFmtId="1" showAll="0"/>
    <pivotField numFmtId="165" showAll="0"/>
    <pivotField showAll="0">
      <items count="13">
        <item x="10"/>
        <item x="6"/>
        <item x="7"/>
        <item x="2"/>
        <item x="5"/>
        <item x="8"/>
        <item x="9"/>
        <item x="3"/>
        <item x="0"/>
        <item x="1"/>
        <item x="4"/>
        <item x="11"/>
        <item t="default"/>
      </items>
    </pivotField>
    <pivotField showAll="0">
      <items count="3">
        <item x="1"/>
        <item x="0"/>
        <item t="default"/>
      </items>
    </pivotField>
    <pivotField showAll="0"/>
    <pivotField showAll="0">
      <items count="10">
        <item x="0"/>
        <item x="5"/>
        <item x="2"/>
        <item x="7"/>
        <item x="6"/>
        <item x="3"/>
        <item x="4"/>
        <item x="8"/>
        <item x="1"/>
        <item t="default"/>
      </items>
    </pivotField>
    <pivotField showAll="0"/>
    <pivotField showAll="0">
      <items count="10">
        <item x="0"/>
        <item x="8"/>
        <item x="2"/>
        <item x="4"/>
        <item x="6"/>
        <item x="5"/>
        <item x="7"/>
        <item x="1"/>
        <item x="3"/>
        <item t="default"/>
      </items>
    </pivotField>
    <pivotField showAll="0">
      <items count="5">
        <item x="2"/>
        <item x="1"/>
        <item x="3"/>
        <item x="0"/>
        <item t="default"/>
      </items>
    </pivotField>
    <pivotField showAll="0">
      <items count="4">
        <item x="0"/>
        <item x="1"/>
        <item x="2"/>
        <item t="default"/>
      </items>
    </pivotField>
    <pivotField showAll="0">
      <items count="10">
        <item x="2"/>
        <item x="1"/>
        <item x="7"/>
        <item x="5"/>
        <item x="8"/>
        <item x="0"/>
        <item x="4"/>
        <item x="3"/>
        <item x="6"/>
        <item t="default"/>
      </items>
    </pivotField>
    <pivotField numFmtId="164" showAll="0"/>
    <pivotField showAll="0"/>
    <pivotField numFmtId="1" showAll="0">
      <items count="4">
        <item x="0"/>
        <item x="1"/>
        <item x="2"/>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2264ED-0F7D-41EE-BAE7-E43C45F58D47}" name="PivotTable8"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2:I12" firstHeaderRow="1" firstDataRow="1" firstDataCol="1"/>
  <pivotFields count="14">
    <pivotField numFmtId="1" showAll="0"/>
    <pivotField numFmtId="165" showAll="0"/>
    <pivotField showAll="0"/>
    <pivotField showAll="0"/>
    <pivotField showAll="0"/>
    <pivotField showAll="0"/>
    <pivotField showAll="0"/>
    <pivotField axis="axisRow" showAll="0">
      <items count="10">
        <item x="0"/>
        <item x="8"/>
        <item x="2"/>
        <item x="4"/>
        <item x="6"/>
        <item x="5"/>
        <item x="7"/>
        <item x="1"/>
        <item x="3"/>
        <item t="default"/>
      </items>
    </pivotField>
    <pivotField showAll="0"/>
    <pivotField showAll="0"/>
    <pivotField showAll="0"/>
    <pivotField numFmtId="164" showAll="0"/>
    <pivotField showAll="0"/>
    <pivotField numFmtId="1" showAll="0"/>
  </pivotFields>
  <rowFields count="1">
    <field x="7"/>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9"/>
    <pivotTable tabId="2" name="PivotTable5"/>
    <pivotTable tabId="2" name="PivotTable6"/>
    <pivotTable tabId="2" name="PivotTable7"/>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0000000-0013-0000-FFFF-FFFF02000000}" sourceName="Shift">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jury_Location" xr10:uid="{00000000-0013-0000-FFFF-FFFF03000000}" sourceName="Injury Location">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12">
        <i x="10" s="1"/>
        <i x="6" s="1"/>
        <i x="7" s="1"/>
        <i x="2" s="1"/>
        <i x="5" s="1"/>
        <i x="8" s="1"/>
        <i x="9" s="1"/>
        <i x="3" s="1"/>
        <i x="0" s="1"/>
        <i x="1" s="1"/>
        <i x="4"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4000000}" sourceName="Department">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9">
        <i x="2" s="1"/>
        <i x="1" s="1"/>
        <i x="7" s="1"/>
        <i x="5" s="1"/>
        <i x="8" s="1"/>
        <i x="0" s="1"/>
        <i x="4"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Type" xr10:uid="{00000000-0013-0000-FFFF-FFFF05000000}" sourceName="Incident Type">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9">
        <i x="0" s="1"/>
        <i x="5" s="1"/>
        <i x="2" s="1"/>
        <i x="7" s="1"/>
        <i x="6" s="1"/>
        <i x="3" s="1"/>
        <i x="4" s="1"/>
        <i x="8"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_Type" xr10:uid="{00000000-0013-0000-FFFF-FFFF06000000}" sourceName="Report Type">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4">
        <i x="2" s="1"/>
        <i x="1"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7000000}" sourceName="Gender">
  <pivotTables>
    <pivotTable tabId="4"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s>
  <data>
    <tabular pivotCacheId="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DADBC614-B33B-4B1A-A281-1A9C624D3C8D}" sourceName="Plant">
  <pivotTables>
    <pivotTable tabId="4" name="PivotTable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5"/>
    <pivotTable tabId="2" name="PivotTable6"/>
    <pivotTable tabId="2" name="PivotTable7"/>
    <pivotTable tabId="2" name="PivotTable9"/>
    <pivotTable tabId="4" name="PivotTable19"/>
  </pivotTables>
  <data>
    <tabular pivotCacheId="1">
      <items count="9">
        <i x="0" s="1"/>
        <i x="8" s="1"/>
        <i x="2" s="1"/>
        <i x="4" s="1"/>
        <i x="6" s="1"/>
        <i x="5" s="1"/>
        <i x="7"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artItem="1" style="SlicerStyleOther1" rowHeight="274320"/>
  <slicer name="Shift" xr10:uid="{00000000-0014-0000-FFFF-FFFF02000000}" cache="Slicer_Shift" caption="Shift" rowHeight="274320"/>
  <slicer name="Injury Location" xr10:uid="{00000000-0014-0000-FFFF-FFFF03000000}" cache="Slicer_Injury_Location" caption="Injury Location" startItem="1" rowHeight="274320"/>
  <slicer name="Department" xr10:uid="{00000000-0014-0000-FFFF-FFFF04000000}" cache="Slicer_Department" caption="Department" startItem="3" rowHeight="274320"/>
  <slicer name="Incident Type" xr10:uid="{00000000-0014-0000-FFFF-FFFF05000000}" cache="Slicer_Incident_Type" caption="Incident Type" rowHeight="274320"/>
  <slicer name="Report Type" xr10:uid="{00000000-0014-0000-FFFF-FFFF06000000}" cache="Slicer_Report_Type" caption="Report Type" rowHeight="274320"/>
  <slicer name="Gender" xr10:uid="{00000000-0014-0000-FFFF-FFFF07000000}" cache="Slicer_Gender" caption="Gender" rowHeight="274320"/>
  <slicer name="Plant" xr10:uid="{8843ABC3-1CB4-45A8-B283-7A097325BA2D}" cache="Slicer_Plant" caption="Pla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8000000}" cache="Slicer_Year" caption="Year" style="SlicerStyleDark1" rowHeight="274320"/>
  <slicer name="Shift 1" xr10:uid="{00000000-0014-0000-FFFF-FFFF09000000}" cache="Slicer_Shift" caption="Shift" style="SlicerStyleDark3" rowHeight="274320"/>
  <slicer name="Injury Location 1" xr10:uid="{00000000-0014-0000-FFFF-FFFF0A000000}" cache="Slicer_Injury_Location" caption="Injury Location" style="SlicerStyleDark6" rowHeight="256032"/>
  <slicer name="Department 1" xr10:uid="{00000000-0014-0000-FFFF-FFFF0B000000}" cache="Slicer_Department" caption="Department" style="SlicerStyleDark5" rowHeight="274320"/>
  <slicer name="Incident Type 1" xr10:uid="{00000000-0014-0000-FFFF-FFFF0C000000}" cache="Slicer_Incident_Type" caption="Incident Type" style="SlicerStyleDark5" rowHeight="256032"/>
  <slicer name="Report Type 1" xr10:uid="{00000000-0014-0000-FFFF-FFFF0D000000}" cache="Slicer_Report_Type" caption="Report Type" style="SlicerStyleDark4" rowHeight="228600"/>
  <slicer name="Gender 1" xr10:uid="{00000000-0014-0000-FFFF-FFFF0E000000}" cache="Slicer_Gender" caption="Gender" style="SlicerStyleDark4" rowHeight="274320"/>
  <slicer name="Plant 1" xr10:uid="{64020C72-DB64-440C-82C7-5575C566D111}" cache="Slicer_Plant" caption="Plant" startItem="6" style="SlicerStyleDark3"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fetyData" displayName="SafetyData" ref="B1:L515" totalsRowShown="0" headerRowDxfId="23" dataDxfId="22">
  <sortState xmlns:xlrd2="http://schemas.microsoft.com/office/spreadsheetml/2017/richdata2" ref="B2:L611">
    <sortCondition ref="B424"/>
  </sortState>
  <tableColumns count="11">
    <tableColumn id="1" xr3:uid="{00000000-0010-0000-0000-000001000000}" name="Date" dataDxfId="21" totalsRowDxfId="20"/>
    <tableColumn id="5" xr3:uid="{00000000-0010-0000-0000-000005000000}" name="Injury Location" dataDxfId="19" totalsRowDxfId="18"/>
    <tableColumn id="6" xr3:uid="{00000000-0010-0000-0000-000006000000}" name="Gender" dataDxfId="17" totalsRowDxfId="16"/>
    <tableColumn id="7" xr3:uid="{00000000-0010-0000-0000-000007000000}" name="Age" dataDxfId="15" totalsRowDxfId="14"/>
    <tableColumn id="8" xr3:uid="{00000000-0010-0000-0000-000008000000}" name="Incident Type" dataDxfId="13" totalsRowDxfId="12"/>
    <tableColumn id="9" xr3:uid="{00000000-0010-0000-0000-000009000000}" name="Days Lost" dataDxfId="11" totalsRowDxfId="10"/>
    <tableColumn id="10" xr3:uid="{00000000-0010-0000-0000-00000A000000}" name="Plant" dataDxfId="9" totalsRowDxfId="8"/>
    <tableColumn id="11" xr3:uid="{00000000-0010-0000-0000-00000B000000}" name="Report Type" dataDxfId="7" totalsRowDxfId="6"/>
    <tableColumn id="12" xr3:uid="{00000000-0010-0000-0000-00000C000000}" name="Shift" dataDxfId="5" totalsRowDxfId="4"/>
    <tableColumn id="13" xr3:uid="{00000000-0010-0000-0000-00000D000000}" name="Department" dataDxfId="3" totalsRowDxfId="2"/>
    <tableColumn id="14" xr3:uid="{00000000-0010-0000-0000-00000E000000}" name="Incident Cost" dataDxfId="1" totalsRowDxfId="0"/>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516" totalsRowShown="0">
  <autoFilter ref="A1:N516" xr:uid="{00000000-0009-0000-0100-000002000000}"/>
  <tableColumns count="14">
    <tableColumn id="1" xr3:uid="{00000000-0010-0000-0100-000001000000}" name="S.No"/>
    <tableColumn id="2" xr3:uid="{00000000-0010-0000-0100-000002000000}" name="Date"/>
    <tableColumn id="3" xr3:uid="{00000000-0010-0000-0100-000003000000}" name="Injury Location"/>
    <tableColumn id="4" xr3:uid="{00000000-0010-0000-0100-000004000000}" name="Gender"/>
    <tableColumn id="5" xr3:uid="{00000000-0010-0000-0100-000005000000}" name="Age"/>
    <tableColumn id="6" xr3:uid="{00000000-0010-0000-0100-000006000000}" name="Incident Type"/>
    <tableColumn id="7" xr3:uid="{00000000-0010-0000-0100-000007000000}" name="Days Lost"/>
    <tableColumn id="8" xr3:uid="{00000000-0010-0000-0100-000008000000}" name="Plant"/>
    <tableColumn id="9" xr3:uid="{00000000-0010-0000-0100-000009000000}" name="Report Type"/>
    <tableColumn id="10" xr3:uid="{00000000-0010-0000-0100-00000A000000}" name="Shift"/>
    <tableColumn id="11" xr3:uid="{00000000-0010-0000-0100-00000B000000}" name="Department"/>
    <tableColumn id="12" xr3:uid="{00000000-0010-0000-0100-00000C000000}" name="Incident Cost"/>
    <tableColumn id="13" xr3:uid="{00000000-0010-0000-0100-00000D000000}" name="Month"/>
    <tableColumn id="14" xr3:uid="{00000000-0010-0000-0100-00000E000000}" name="Year"/>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6"/>
  <sheetViews>
    <sheetView topLeftCell="A501" workbookViewId="0">
      <selection activeCell="F519" sqref="F519"/>
    </sheetView>
  </sheetViews>
  <sheetFormatPr defaultColWidth="10.28515625" defaultRowHeight="15.75" x14ac:dyDescent="0.25"/>
  <cols>
    <col min="1" max="1" width="8.28515625" style="5" bestFit="1" customWidth="1"/>
    <col min="2" max="2" width="12.28515625" style="12" bestFit="1" customWidth="1"/>
    <col min="3" max="3" width="13.85546875" style="13" bestFit="1" customWidth="1"/>
    <col min="4" max="4" width="9.42578125" style="13" bestFit="1" customWidth="1"/>
    <col min="5" max="5" width="10.5703125" style="13" bestFit="1" customWidth="1"/>
    <col min="6" max="6" width="15.7109375" style="13" bestFit="1" customWidth="1"/>
    <col min="7" max="7" width="10.5703125" style="13" bestFit="1" customWidth="1"/>
    <col min="8" max="8" width="12.7109375" style="13" bestFit="1" customWidth="1"/>
    <col min="9" max="9" width="16.140625" style="13" bestFit="1" customWidth="1"/>
    <col min="10" max="10" width="11.28515625" style="13" bestFit="1" customWidth="1"/>
    <col min="11" max="11" width="16.85546875" style="13" bestFit="1" customWidth="1"/>
    <col min="12" max="12" width="15.42578125" style="14" bestFit="1" customWidth="1"/>
    <col min="13" max="13" width="8.7109375" style="18" customWidth="1"/>
    <col min="14" max="14" width="8.28515625" style="5" bestFit="1" customWidth="1"/>
    <col min="15" max="16384" width="10.28515625" style="5"/>
  </cols>
  <sheetData>
    <row r="1" spans="1:14" ht="31.5" x14ac:dyDescent="0.25">
      <c r="A1" s="1" t="s">
        <v>0</v>
      </c>
      <c r="B1" s="2" t="s">
        <v>1</v>
      </c>
      <c r="C1" s="2" t="s">
        <v>2</v>
      </c>
      <c r="D1" s="2" t="s">
        <v>3</v>
      </c>
      <c r="E1" s="3" t="s">
        <v>4</v>
      </c>
      <c r="F1" s="2" t="s">
        <v>5</v>
      </c>
      <c r="G1" s="2" t="s">
        <v>6</v>
      </c>
      <c r="H1" s="2" t="s">
        <v>7</v>
      </c>
      <c r="I1" s="2" t="s">
        <v>8</v>
      </c>
      <c r="J1" s="2" t="s">
        <v>9</v>
      </c>
      <c r="K1" s="2" t="s">
        <v>10</v>
      </c>
      <c r="L1" s="4" t="s">
        <v>11</v>
      </c>
      <c r="M1" s="16" t="s">
        <v>67</v>
      </c>
      <c r="N1" s="1" t="s">
        <v>12</v>
      </c>
    </row>
    <row r="2" spans="1:14" x14ac:dyDescent="0.25">
      <c r="A2" s="6">
        <v>1</v>
      </c>
      <c r="B2" s="7">
        <v>43831</v>
      </c>
      <c r="C2" s="8" t="s">
        <v>13</v>
      </c>
      <c r="D2" s="8" t="s">
        <v>14</v>
      </c>
      <c r="E2" s="9" t="s">
        <v>15</v>
      </c>
      <c r="F2" s="8" t="s">
        <v>16</v>
      </c>
      <c r="G2" s="8">
        <v>0</v>
      </c>
      <c r="H2" s="8" t="s">
        <v>17</v>
      </c>
      <c r="I2" s="8" t="s">
        <v>18</v>
      </c>
      <c r="J2" s="8" t="s">
        <v>19</v>
      </c>
      <c r="K2" s="8" t="s">
        <v>20</v>
      </c>
      <c r="L2" s="10">
        <v>0</v>
      </c>
      <c r="M2" s="17" t="s">
        <v>68</v>
      </c>
      <c r="N2" s="6">
        <v>2020</v>
      </c>
    </row>
    <row r="3" spans="1:14" x14ac:dyDescent="0.25">
      <c r="A3" s="6">
        <v>2</v>
      </c>
      <c r="B3" s="7">
        <v>43833</v>
      </c>
      <c r="C3" s="8" t="s">
        <v>21</v>
      </c>
      <c r="D3" s="8" t="s">
        <v>14</v>
      </c>
      <c r="E3" s="9" t="s">
        <v>22</v>
      </c>
      <c r="F3" s="8" t="s">
        <v>23</v>
      </c>
      <c r="G3" s="8">
        <v>0.5</v>
      </c>
      <c r="H3" s="8" t="s">
        <v>24</v>
      </c>
      <c r="I3" s="8" t="s">
        <v>25</v>
      </c>
      <c r="J3" s="8" t="s">
        <v>26</v>
      </c>
      <c r="K3" s="8" t="s">
        <v>27</v>
      </c>
      <c r="L3" s="10">
        <v>3367</v>
      </c>
      <c r="M3" s="17" t="s">
        <v>68</v>
      </c>
      <c r="N3" s="6">
        <v>2020</v>
      </c>
    </row>
    <row r="4" spans="1:14" x14ac:dyDescent="0.25">
      <c r="A4" s="6">
        <v>3</v>
      </c>
      <c r="B4" s="7">
        <v>43833</v>
      </c>
      <c r="C4" s="8" t="s">
        <v>28</v>
      </c>
      <c r="D4" s="8" t="s">
        <v>14</v>
      </c>
      <c r="E4" s="9" t="s">
        <v>15</v>
      </c>
      <c r="F4" s="8" t="s">
        <v>29</v>
      </c>
      <c r="G4" s="8">
        <v>0</v>
      </c>
      <c r="H4" s="8" t="s">
        <v>30</v>
      </c>
      <c r="I4" s="8" t="s">
        <v>18</v>
      </c>
      <c r="J4" s="8" t="s">
        <v>26</v>
      </c>
      <c r="K4" s="8" t="s">
        <v>31</v>
      </c>
      <c r="L4" s="10">
        <v>0</v>
      </c>
      <c r="M4" s="17" t="s">
        <v>68</v>
      </c>
      <c r="N4" s="6">
        <v>2020</v>
      </c>
    </row>
    <row r="5" spans="1:14" x14ac:dyDescent="0.25">
      <c r="A5" s="6">
        <v>4</v>
      </c>
      <c r="B5" s="7">
        <v>43834</v>
      </c>
      <c r="C5" s="8" t="s">
        <v>32</v>
      </c>
      <c r="D5" s="8" t="s">
        <v>33</v>
      </c>
      <c r="E5" s="9" t="s">
        <v>34</v>
      </c>
      <c r="F5" s="8" t="s">
        <v>35</v>
      </c>
      <c r="G5" s="8">
        <v>0</v>
      </c>
      <c r="H5" s="8" t="s">
        <v>17</v>
      </c>
      <c r="I5" s="8" t="s">
        <v>18</v>
      </c>
      <c r="J5" s="8" t="s">
        <v>26</v>
      </c>
      <c r="K5" s="8" t="s">
        <v>20</v>
      </c>
      <c r="L5" s="10">
        <v>0</v>
      </c>
      <c r="M5" s="17" t="s">
        <v>68</v>
      </c>
      <c r="N5" s="6">
        <v>2020</v>
      </c>
    </row>
    <row r="6" spans="1:14" x14ac:dyDescent="0.25">
      <c r="A6" s="6">
        <v>5</v>
      </c>
      <c r="B6" s="7">
        <v>43837</v>
      </c>
      <c r="C6" s="8" t="s">
        <v>32</v>
      </c>
      <c r="D6" s="8" t="s">
        <v>14</v>
      </c>
      <c r="E6" s="9" t="s">
        <v>15</v>
      </c>
      <c r="F6" s="8" t="s">
        <v>36</v>
      </c>
      <c r="G6" s="8">
        <v>0</v>
      </c>
      <c r="H6" s="8" t="s">
        <v>37</v>
      </c>
      <c r="I6" s="8" t="s">
        <v>18</v>
      </c>
      <c r="J6" s="8" t="s">
        <v>26</v>
      </c>
      <c r="K6" s="8" t="s">
        <v>20</v>
      </c>
      <c r="L6" s="10">
        <v>0</v>
      </c>
      <c r="M6" s="17" t="s">
        <v>68</v>
      </c>
      <c r="N6" s="6">
        <v>2020</v>
      </c>
    </row>
    <row r="7" spans="1:14" x14ac:dyDescent="0.25">
      <c r="A7" s="6">
        <v>6</v>
      </c>
      <c r="B7" s="7">
        <v>43841</v>
      </c>
      <c r="C7" s="8" t="s">
        <v>21</v>
      </c>
      <c r="D7" s="8" t="s">
        <v>33</v>
      </c>
      <c r="E7" s="9" t="s">
        <v>34</v>
      </c>
      <c r="F7" s="8" t="s">
        <v>38</v>
      </c>
      <c r="G7" s="8">
        <v>0</v>
      </c>
      <c r="H7" s="8" t="s">
        <v>30</v>
      </c>
      <c r="I7" s="8" t="s">
        <v>39</v>
      </c>
      <c r="J7" s="8" t="s">
        <v>19</v>
      </c>
      <c r="K7" s="8" t="s">
        <v>40</v>
      </c>
      <c r="L7" s="10">
        <v>132</v>
      </c>
      <c r="M7" s="17" t="s">
        <v>68</v>
      </c>
      <c r="N7" s="6">
        <v>2020</v>
      </c>
    </row>
    <row r="8" spans="1:14" x14ac:dyDescent="0.25">
      <c r="A8" s="6">
        <v>7</v>
      </c>
      <c r="B8" s="7">
        <v>43841</v>
      </c>
      <c r="C8" s="8" t="s">
        <v>41</v>
      </c>
      <c r="D8" s="8" t="s">
        <v>14</v>
      </c>
      <c r="E8" s="9" t="s">
        <v>42</v>
      </c>
      <c r="F8" s="8" t="s">
        <v>38</v>
      </c>
      <c r="G8" s="8">
        <v>3.5</v>
      </c>
      <c r="H8" s="8" t="s">
        <v>17</v>
      </c>
      <c r="I8" s="8" t="s">
        <v>25</v>
      </c>
      <c r="J8" s="8" t="s">
        <v>26</v>
      </c>
      <c r="K8" s="8" t="s">
        <v>43</v>
      </c>
      <c r="L8" s="10">
        <v>4872</v>
      </c>
      <c r="M8" s="17" t="s">
        <v>68</v>
      </c>
      <c r="N8" s="6">
        <v>2020</v>
      </c>
    </row>
    <row r="9" spans="1:14" x14ac:dyDescent="0.25">
      <c r="A9" s="6">
        <v>8</v>
      </c>
      <c r="B9" s="7">
        <v>43842</v>
      </c>
      <c r="C9" s="8" t="s">
        <v>44</v>
      </c>
      <c r="D9" s="8" t="s">
        <v>14</v>
      </c>
      <c r="E9" s="9" t="s">
        <v>34</v>
      </c>
      <c r="F9" s="8" t="s">
        <v>16</v>
      </c>
      <c r="G9" s="8">
        <v>1.5</v>
      </c>
      <c r="H9" s="8" t="s">
        <v>45</v>
      </c>
      <c r="I9" s="8" t="s">
        <v>25</v>
      </c>
      <c r="J9" s="8" t="s">
        <v>46</v>
      </c>
      <c r="K9" s="8" t="s">
        <v>31</v>
      </c>
      <c r="L9" s="10">
        <v>1248</v>
      </c>
      <c r="M9" s="17" t="s">
        <v>68</v>
      </c>
      <c r="N9" s="6">
        <v>2020</v>
      </c>
    </row>
    <row r="10" spans="1:14" x14ac:dyDescent="0.25">
      <c r="A10" s="6">
        <v>9</v>
      </c>
      <c r="B10" s="7">
        <v>43845</v>
      </c>
      <c r="C10" s="8" t="s">
        <v>21</v>
      </c>
      <c r="D10" s="8" t="s">
        <v>14</v>
      </c>
      <c r="E10" s="9" t="s">
        <v>47</v>
      </c>
      <c r="F10" s="8" t="s">
        <v>48</v>
      </c>
      <c r="G10" s="8">
        <v>0</v>
      </c>
      <c r="H10" s="8" t="s">
        <v>49</v>
      </c>
      <c r="I10" s="8" t="s">
        <v>39</v>
      </c>
      <c r="J10" s="8" t="s">
        <v>19</v>
      </c>
      <c r="K10" s="8" t="s">
        <v>50</v>
      </c>
      <c r="L10" s="10">
        <v>29</v>
      </c>
      <c r="M10" s="17" t="s">
        <v>68</v>
      </c>
      <c r="N10" s="6">
        <v>2020</v>
      </c>
    </row>
    <row r="11" spans="1:14" x14ac:dyDescent="0.25">
      <c r="A11" s="6">
        <v>10</v>
      </c>
      <c r="B11" s="7">
        <v>43846</v>
      </c>
      <c r="C11" s="8" t="s">
        <v>51</v>
      </c>
      <c r="D11" s="8" t="s">
        <v>14</v>
      </c>
      <c r="E11" s="9" t="s">
        <v>34</v>
      </c>
      <c r="F11" s="8" t="s">
        <v>38</v>
      </c>
      <c r="G11" s="8">
        <v>4.5</v>
      </c>
      <c r="H11" s="8" t="s">
        <v>49</v>
      </c>
      <c r="I11" s="8" t="s">
        <v>25</v>
      </c>
      <c r="J11" s="8" t="s">
        <v>19</v>
      </c>
      <c r="K11" s="8" t="s">
        <v>31</v>
      </c>
      <c r="L11" s="10">
        <v>2525</v>
      </c>
      <c r="M11" s="17" t="s">
        <v>68</v>
      </c>
      <c r="N11" s="6">
        <v>2020</v>
      </c>
    </row>
    <row r="12" spans="1:14" x14ac:dyDescent="0.25">
      <c r="A12" s="6">
        <v>11</v>
      </c>
      <c r="B12" s="7">
        <v>43848</v>
      </c>
      <c r="C12" s="8" t="s">
        <v>21</v>
      </c>
      <c r="D12" s="8" t="s">
        <v>33</v>
      </c>
      <c r="E12" s="9" t="s">
        <v>47</v>
      </c>
      <c r="F12" s="8" t="s">
        <v>35</v>
      </c>
      <c r="G12" s="8">
        <v>0</v>
      </c>
      <c r="H12" s="8" t="s">
        <v>17</v>
      </c>
      <c r="I12" s="8" t="s">
        <v>39</v>
      </c>
      <c r="J12" s="8" t="s">
        <v>46</v>
      </c>
      <c r="K12" s="8" t="s">
        <v>52</v>
      </c>
      <c r="L12" s="10">
        <v>59</v>
      </c>
      <c r="M12" s="17" t="s">
        <v>68</v>
      </c>
      <c r="N12" s="6">
        <v>2020</v>
      </c>
    </row>
    <row r="13" spans="1:14" x14ac:dyDescent="0.25">
      <c r="A13" s="6">
        <v>12</v>
      </c>
      <c r="B13" s="7">
        <v>43853</v>
      </c>
      <c r="C13" s="8" t="s">
        <v>41</v>
      </c>
      <c r="D13" s="8" t="s">
        <v>14</v>
      </c>
      <c r="E13" s="9" t="s">
        <v>34</v>
      </c>
      <c r="F13" s="8" t="s">
        <v>38</v>
      </c>
      <c r="G13" s="8">
        <v>0</v>
      </c>
      <c r="H13" s="8" t="s">
        <v>24</v>
      </c>
      <c r="I13" s="8" t="s">
        <v>53</v>
      </c>
      <c r="J13" s="8" t="s">
        <v>19</v>
      </c>
      <c r="K13" s="8" t="s">
        <v>52</v>
      </c>
      <c r="L13" s="10">
        <v>1947</v>
      </c>
      <c r="M13" s="17" t="s">
        <v>68</v>
      </c>
      <c r="N13" s="6">
        <v>2020</v>
      </c>
    </row>
    <row r="14" spans="1:14" x14ac:dyDescent="0.25">
      <c r="A14" s="6">
        <v>13</v>
      </c>
      <c r="B14" s="7">
        <v>43856</v>
      </c>
      <c r="C14" s="8" t="s">
        <v>28</v>
      </c>
      <c r="D14" s="8" t="s">
        <v>14</v>
      </c>
      <c r="E14" s="9" t="s">
        <v>34</v>
      </c>
      <c r="F14" s="8" t="s">
        <v>23</v>
      </c>
      <c r="G14" s="8">
        <v>0</v>
      </c>
      <c r="H14" s="8" t="s">
        <v>49</v>
      </c>
      <c r="I14" s="8" t="s">
        <v>53</v>
      </c>
      <c r="J14" s="8" t="s">
        <v>26</v>
      </c>
      <c r="K14" s="8" t="s">
        <v>54</v>
      </c>
      <c r="L14" s="10">
        <v>2268</v>
      </c>
      <c r="M14" s="17" t="s">
        <v>68</v>
      </c>
      <c r="N14" s="6">
        <v>2020</v>
      </c>
    </row>
    <row r="15" spans="1:14" x14ac:dyDescent="0.25">
      <c r="A15" s="6">
        <v>14</v>
      </c>
      <c r="B15" s="7">
        <v>43857</v>
      </c>
      <c r="C15" s="8" t="s">
        <v>28</v>
      </c>
      <c r="D15" s="8" t="s">
        <v>14</v>
      </c>
      <c r="E15" s="9" t="s">
        <v>15</v>
      </c>
      <c r="F15" s="8" t="s">
        <v>16</v>
      </c>
      <c r="G15" s="8">
        <v>0</v>
      </c>
      <c r="H15" s="8" t="s">
        <v>55</v>
      </c>
      <c r="I15" s="8" t="s">
        <v>53</v>
      </c>
      <c r="J15" s="8" t="s">
        <v>26</v>
      </c>
      <c r="K15" s="8" t="s">
        <v>50</v>
      </c>
      <c r="L15" s="10">
        <v>628</v>
      </c>
      <c r="M15" s="17" t="s">
        <v>68</v>
      </c>
      <c r="N15" s="6">
        <v>2020</v>
      </c>
    </row>
    <row r="16" spans="1:14" x14ac:dyDescent="0.25">
      <c r="A16" s="6">
        <v>15</v>
      </c>
      <c r="B16" s="7">
        <v>43857</v>
      </c>
      <c r="C16" s="8" t="s">
        <v>28</v>
      </c>
      <c r="D16" s="8" t="s">
        <v>14</v>
      </c>
      <c r="E16" s="9" t="s">
        <v>15</v>
      </c>
      <c r="F16" s="8" t="s">
        <v>16</v>
      </c>
      <c r="G16" s="8">
        <v>0</v>
      </c>
      <c r="H16" s="8" t="s">
        <v>30</v>
      </c>
      <c r="I16" s="8" t="s">
        <v>39</v>
      </c>
      <c r="J16" s="8" t="s">
        <v>46</v>
      </c>
      <c r="K16" s="8" t="s">
        <v>54</v>
      </c>
      <c r="L16" s="10">
        <v>77</v>
      </c>
      <c r="M16" s="17" t="s">
        <v>68</v>
      </c>
      <c r="N16" s="6">
        <v>2020</v>
      </c>
    </row>
    <row r="17" spans="1:14" x14ac:dyDescent="0.25">
      <c r="A17" s="6">
        <v>16</v>
      </c>
      <c r="B17" s="7">
        <v>43857</v>
      </c>
      <c r="C17" s="8" t="s">
        <v>56</v>
      </c>
      <c r="D17" s="8" t="s">
        <v>14</v>
      </c>
      <c r="E17" s="9" t="s">
        <v>34</v>
      </c>
      <c r="F17" s="8" t="s">
        <v>29</v>
      </c>
      <c r="G17" s="8">
        <v>0</v>
      </c>
      <c r="H17" s="8" t="s">
        <v>37</v>
      </c>
      <c r="I17" s="8" t="s">
        <v>39</v>
      </c>
      <c r="J17" s="8" t="s">
        <v>26</v>
      </c>
      <c r="K17" s="8" t="s">
        <v>52</v>
      </c>
      <c r="L17" s="10">
        <v>341</v>
      </c>
      <c r="M17" s="17" t="s">
        <v>68</v>
      </c>
      <c r="N17" s="6">
        <v>2020</v>
      </c>
    </row>
    <row r="18" spans="1:14" x14ac:dyDescent="0.25">
      <c r="A18" s="6">
        <v>17</v>
      </c>
      <c r="B18" s="7">
        <v>43860</v>
      </c>
      <c r="C18" s="8" t="s">
        <v>51</v>
      </c>
      <c r="D18" s="8" t="s">
        <v>14</v>
      </c>
      <c r="E18" s="9" t="s">
        <v>22</v>
      </c>
      <c r="F18" s="8" t="s">
        <v>16</v>
      </c>
      <c r="G18" s="8">
        <v>0</v>
      </c>
      <c r="H18" s="8" t="s">
        <v>57</v>
      </c>
      <c r="I18" s="8" t="s">
        <v>18</v>
      </c>
      <c r="J18" s="8" t="s">
        <v>19</v>
      </c>
      <c r="K18" s="8" t="s">
        <v>50</v>
      </c>
      <c r="L18" s="10">
        <v>0</v>
      </c>
      <c r="M18" s="17" t="s">
        <v>68</v>
      </c>
      <c r="N18" s="6">
        <v>2020</v>
      </c>
    </row>
    <row r="19" spans="1:14" x14ac:dyDescent="0.25">
      <c r="A19" s="6">
        <v>18</v>
      </c>
      <c r="B19" s="7">
        <v>43860</v>
      </c>
      <c r="C19" s="8" t="s">
        <v>58</v>
      </c>
      <c r="D19" s="8" t="s">
        <v>14</v>
      </c>
      <c r="E19" s="9" t="s">
        <v>47</v>
      </c>
      <c r="F19" s="8" t="s">
        <v>48</v>
      </c>
      <c r="G19" s="8">
        <v>0</v>
      </c>
      <c r="H19" s="8" t="s">
        <v>45</v>
      </c>
      <c r="I19" s="8" t="s">
        <v>53</v>
      </c>
      <c r="J19" s="8" t="s">
        <v>26</v>
      </c>
      <c r="K19" s="8" t="s">
        <v>59</v>
      </c>
      <c r="L19" s="10">
        <v>2007</v>
      </c>
      <c r="M19" s="17" t="s">
        <v>68</v>
      </c>
      <c r="N19" s="6">
        <v>2020</v>
      </c>
    </row>
    <row r="20" spans="1:14" x14ac:dyDescent="0.25">
      <c r="A20" s="6">
        <v>19</v>
      </c>
      <c r="B20" s="7">
        <v>43862</v>
      </c>
      <c r="C20" s="8" t="s">
        <v>13</v>
      </c>
      <c r="D20" s="8" t="s">
        <v>14</v>
      </c>
      <c r="E20" s="9" t="s">
        <v>15</v>
      </c>
      <c r="F20" s="8" t="s">
        <v>38</v>
      </c>
      <c r="G20" s="8">
        <v>0</v>
      </c>
      <c r="H20" s="8" t="s">
        <v>60</v>
      </c>
      <c r="I20" s="8" t="s">
        <v>39</v>
      </c>
      <c r="J20" s="8" t="s">
        <v>46</v>
      </c>
      <c r="K20" s="8" t="s">
        <v>20</v>
      </c>
      <c r="L20" s="10">
        <v>338</v>
      </c>
      <c r="M20" s="17" t="s">
        <v>69</v>
      </c>
      <c r="N20" s="6">
        <v>2020</v>
      </c>
    </row>
    <row r="21" spans="1:14" x14ac:dyDescent="0.25">
      <c r="A21" s="6">
        <v>20</v>
      </c>
      <c r="B21" s="7">
        <v>43864</v>
      </c>
      <c r="C21" s="8" t="s">
        <v>51</v>
      </c>
      <c r="D21" s="8" t="s">
        <v>14</v>
      </c>
      <c r="E21" s="9" t="s">
        <v>15</v>
      </c>
      <c r="F21" s="8" t="s">
        <v>48</v>
      </c>
      <c r="G21" s="8">
        <v>4</v>
      </c>
      <c r="H21" s="8" t="s">
        <v>37</v>
      </c>
      <c r="I21" s="8" t="s">
        <v>25</v>
      </c>
      <c r="J21" s="8" t="s">
        <v>46</v>
      </c>
      <c r="K21" s="8" t="s">
        <v>50</v>
      </c>
      <c r="L21" s="10">
        <v>1196</v>
      </c>
      <c r="M21" s="17" t="s">
        <v>69</v>
      </c>
      <c r="N21" s="6">
        <v>2020</v>
      </c>
    </row>
    <row r="22" spans="1:14" x14ac:dyDescent="0.25">
      <c r="A22" s="6">
        <v>21</v>
      </c>
      <c r="B22" s="7">
        <v>43865</v>
      </c>
      <c r="C22" s="8" t="s">
        <v>61</v>
      </c>
      <c r="D22" s="8" t="s">
        <v>14</v>
      </c>
      <c r="E22" s="9" t="s">
        <v>15</v>
      </c>
      <c r="F22" s="8" t="s">
        <v>36</v>
      </c>
      <c r="G22" s="8">
        <v>0</v>
      </c>
      <c r="H22" s="8" t="s">
        <v>57</v>
      </c>
      <c r="I22" s="8" t="s">
        <v>18</v>
      </c>
      <c r="J22" s="8" t="s">
        <v>46</v>
      </c>
      <c r="K22" s="8" t="s">
        <v>52</v>
      </c>
      <c r="L22" s="10">
        <v>0</v>
      </c>
      <c r="M22" s="17" t="s">
        <v>69</v>
      </c>
      <c r="N22" s="6">
        <v>2020</v>
      </c>
    </row>
    <row r="23" spans="1:14" x14ac:dyDescent="0.25">
      <c r="A23" s="6">
        <v>22</v>
      </c>
      <c r="B23" s="7">
        <v>43870</v>
      </c>
      <c r="C23" s="8" t="s">
        <v>44</v>
      </c>
      <c r="D23" s="8" t="s">
        <v>14</v>
      </c>
      <c r="E23" s="9" t="s">
        <v>15</v>
      </c>
      <c r="F23" s="8" t="s">
        <v>38</v>
      </c>
      <c r="G23" s="8">
        <v>0</v>
      </c>
      <c r="H23" s="8" t="s">
        <v>57</v>
      </c>
      <c r="I23" s="8" t="s">
        <v>39</v>
      </c>
      <c r="J23" s="8" t="s">
        <v>19</v>
      </c>
      <c r="K23" s="8" t="s">
        <v>59</v>
      </c>
      <c r="L23" s="10">
        <v>180</v>
      </c>
      <c r="M23" s="17" t="s">
        <v>69</v>
      </c>
      <c r="N23" s="6">
        <v>2020</v>
      </c>
    </row>
    <row r="24" spans="1:14" x14ac:dyDescent="0.25">
      <c r="A24" s="6">
        <v>23</v>
      </c>
      <c r="B24" s="7">
        <v>43870</v>
      </c>
      <c r="C24" s="8" t="s">
        <v>61</v>
      </c>
      <c r="D24" s="8" t="s">
        <v>14</v>
      </c>
      <c r="E24" s="9" t="s">
        <v>15</v>
      </c>
      <c r="F24" s="8" t="s">
        <v>62</v>
      </c>
      <c r="G24" s="8">
        <v>4.5</v>
      </c>
      <c r="H24" s="8" t="s">
        <v>49</v>
      </c>
      <c r="I24" s="8" t="s">
        <v>25</v>
      </c>
      <c r="J24" s="8" t="s">
        <v>19</v>
      </c>
      <c r="K24" s="8" t="s">
        <v>52</v>
      </c>
      <c r="L24" s="10">
        <v>3784</v>
      </c>
      <c r="M24" s="17" t="s">
        <v>69</v>
      </c>
      <c r="N24" s="6">
        <v>2020</v>
      </c>
    </row>
    <row r="25" spans="1:14" x14ac:dyDescent="0.25">
      <c r="A25" s="6">
        <v>24</v>
      </c>
      <c r="B25" s="7">
        <v>43871</v>
      </c>
      <c r="C25" s="8" t="s">
        <v>44</v>
      </c>
      <c r="D25" s="8" t="s">
        <v>14</v>
      </c>
      <c r="E25" s="9" t="s">
        <v>15</v>
      </c>
      <c r="F25" s="8" t="s">
        <v>16</v>
      </c>
      <c r="G25" s="8">
        <v>1.5</v>
      </c>
      <c r="H25" s="8" t="s">
        <v>55</v>
      </c>
      <c r="I25" s="8" t="s">
        <v>25</v>
      </c>
      <c r="J25" s="8" t="s">
        <v>26</v>
      </c>
      <c r="K25" s="8" t="s">
        <v>59</v>
      </c>
      <c r="L25" s="10">
        <v>4414</v>
      </c>
      <c r="M25" s="17" t="s">
        <v>69</v>
      </c>
      <c r="N25" s="6">
        <v>2020</v>
      </c>
    </row>
    <row r="26" spans="1:14" x14ac:dyDescent="0.25">
      <c r="A26" s="6">
        <v>25</v>
      </c>
      <c r="B26" s="7">
        <v>43871</v>
      </c>
      <c r="C26" s="8" t="s">
        <v>61</v>
      </c>
      <c r="D26" s="8" t="s">
        <v>14</v>
      </c>
      <c r="E26" s="9" t="s">
        <v>15</v>
      </c>
      <c r="F26" s="8" t="s">
        <v>63</v>
      </c>
      <c r="G26" s="8">
        <v>2.5</v>
      </c>
      <c r="H26" s="8" t="s">
        <v>37</v>
      </c>
      <c r="I26" s="8" t="s">
        <v>25</v>
      </c>
      <c r="J26" s="8" t="s">
        <v>19</v>
      </c>
      <c r="K26" s="8" t="s">
        <v>40</v>
      </c>
      <c r="L26" s="10">
        <v>2790</v>
      </c>
      <c r="M26" s="17" t="s">
        <v>69</v>
      </c>
      <c r="N26" s="6">
        <v>2020</v>
      </c>
    </row>
    <row r="27" spans="1:14" x14ac:dyDescent="0.25">
      <c r="A27" s="6">
        <v>26</v>
      </c>
      <c r="B27" s="7">
        <v>43872</v>
      </c>
      <c r="C27" s="8" t="s">
        <v>21</v>
      </c>
      <c r="D27" s="8" t="s">
        <v>14</v>
      </c>
      <c r="E27" s="9" t="s">
        <v>22</v>
      </c>
      <c r="F27" s="8" t="s">
        <v>63</v>
      </c>
      <c r="G27" s="8">
        <v>0</v>
      </c>
      <c r="H27" s="8" t="s">
        <v>60</v>
      </c>
      <c r="I27" s="8" t="s">
        <v>39</v>
      </c>
      <c r="J27" s="8" t="s">
        <v>19</v>
      </c>
      <c r="K27" s="8" t="s">
        <v>31</v>
      </c>
      <c r="L27" s="10">
        <v>394</v>
      </c>
      <c r="M27" s="17" t="s">
        <v>69</v>
      </c>
      <c r="N27" s="6">
        <v>2020</v>
      </c>
    </row>
    <row r="28" spans="1:14" x14ac:dyDescent="0.25">
      <c r="A28" s="6">
        <v>27</v>
      </c>
      <c r="B28" s="7">
        <v>43873</v>
      </c>
      <c r="C28" s="8" t="s">
        <v>58</v>
      </c>
      <c r="D28" s="8" t="s">
        <v>14</v>
      </c>
      <c r="E28" s="9" t="s">
        <v>47</v>
      </c>
      <c r="F28" s="8" t="s">
        <v>48</v>
      </c>
      <c r="G28" s="8">
        <v>4</v>
      </c>
      <c r="H28" s="8" t="s">
        <v>57</v>
      </c>
      <c r="I28" s="8" t="s">
        <v>25</v>
      </c>
      <c r="J28" s="8" t="s">
        <v>19</v>
      </c>
      <c r="K28" s="8" t="s">
        <v>54</v>
      </c>
      <c r="L28" s="10">
        <v>4743</v>
      </c>
      <c r="M28" s="17" t="s">
        <v>69</v>
      </c>
      <c r="N28" s="6">
        <v>2020</v>
      </c>
    </row>
    <row r="29" spans="1:14" x14ac:dyDescent="0.25">
      <c r="A29" s="6">
        <v>28</v>
      </c>
      <c r="B29" s="7">
        <v>43874</v>
      </c>
      <c r="C29" s="8" t="s">
        <v>21</v>
      </c>
      <c r="D29" s="8" t="s">
        <v>14</v>
      </c>
      <c r="E29" s="9" t="s">
        <v>15</v>
      </c>
      <c r="F29" s="8" t="s">
        <v>16</v>
      </c>
      <c r="G29" s="8">
        <v>4.5</v>
      </c>
      <c r="H29" s="8" t="s">
        <v>60</v>
      </c>
      <c r="I29" s="8" t="s">
        <v>25</v>
      </c>
      <c r="J29" s="8" t="s">
        <v>46</v>
      </c>
      <c r="K29" s="8" t="s">
        <v>54</v>
      </c>
      <c r="L29" s="10">
        <v>3417</v>
      </c>
      <c r="M29" s="17" t="s">
        <v>69</v>
      </c>
      <c r="N29" s="6">
        <v>2020</v>
      </c>
    </row>
    <row r="30" spans="1:14" x14ac:dyDescent="0.25">
      <c r="A30" s="6">
        <v>29</v>
      </c>
      <c r="B30" s="7">
        <v>43874</v>
      </c>
      <c r="C30" s="8" t="s">
        <v>32</v>
      </c>
      <c r="D30" s="8" t="s">
        <v>14</v>
      </c>
      <c r="E30" s="9" t="s">
        <v>22</v>
      </c>
      <c r="F30" s="8" t="s">
        <v>38</v>
      </c>
      <c r="G30" s="8">
        <v>0</v>
      </c>
      <c r="H30" s="8" t="s">
        <v>24</v>
      </c>
      <c r="I30" s="8" t="s">
        <v>53</v>
      </c>
      <c r="J30" s="8" t="s">
        <v>46</v>
      </c>
      <c r="K30" s="8" t="s">
        <v>20</v>
      </c>
      <c r="L30" s="10">
        <v>2337</v>
      </c>
      <c r="M30" s="17" t="s">
        <v>69</v>
      </c>
      <c r="N30" s="6">
        <v>2020</v>
      </c>
    </row>
    <row r="31" spans="1:14" x14ac:dyDescent="0.25">
      <c r="A31" s="6">
        <v>30</v>
      </c>
      <c r="B31" s="7">
        <v>43875</v>
      </c>
      <c r="C31" s="8" t="s">
        <v>64</v>
      </c>
      <c r="D31" s="8" t="s">
        <v>14</v>
      </c>
      <c r="E31" s="9" t="s">
        <v>22</v>
      </c>
      <c r="F31" s="8" t="s">
        <v>62</v>
      </c>
      <c r="G31" s="8">
        <v>0</v>
      </c>
      <c r="H31" s="8" t="s">
        <v>30</v>
      </c>
      <c r="I31" s="8" t="s">
        <v>18</v>
      </c>
      <c r="J31" s="8" t="s">
        <v>46</v>
      </c>
      <c r="K31" s="8" t="s">
        <v>52</v>
      </c>
      <c r="L31" s="10">
        <v>0</v>
      </c>
      <c r="M31" s="17" t="s">
        <v>69</v>
      </c>
      <c r="N31" s="6">
        <v>2020</v>
      </c>
    </row>
    <row r="32" spans="1:14" x14ac:dyDescent="0.25">
      <c r="A32" s="6">
        <v>31</v>
      </c>
      <c r="B32" s="7">
        <v>43877</v>
      </c>
      <c r="C32" s="8" t="s">
        <v>64</v>
      </c>
      <c r="D32" s="8" t="s">
        <v>14</v>
      </c>
      <c r="E32" s="9" t="s">
        <v>47</v>
      </c>
      <c r="F32" s="8" t="s">
        <v>63</v>
      </c>
      <c r="G32" s="8">
        <v>0</v>
      </c>
      <c r="H32" s="8" t="s">
        <v>45</v>
      </c>
      <c r="I32" s="8" t="s">
        <v>39</v>
      </c>
      <c r="J32" s="8" t="s">
        <v>26</v>
      </c>
      <c r="K32" s="8" t="s">
        <v>27</v>
      </c>
      <c r="L32" s="10">
        <v>207</v>
      </c>
      <c r="M32" s="17" t="s">
        <v>69</v>
      </c>
      <c r="N32" s="6">
        <v>2020</v>
      </c>
    </row>
    <row r="33" spans="1:14" x14ac:dyDescent="0.25">
      <c r="A33" s="6">
        <v>32</v>
      </c>
      <c r="B33" s="7">
        <v>43878</v>
      </c>
      <c r="C33" s="8" t="s">
        <v>13</v>
      </c>
      <c r="D33" s="8" t="s">
        <v>33</v>
      </c>
      <c r="E33" s="9" t="s">
        <v>34</v>
      </c>
      <c r="F33" s="8" t="s">
        <v>48</v>
      </c>
      <c r="G33" s="8">
        <v>2</v>
      </c>
      <c r="H33" s="8" t="s">
        <v>37</v>
      </c>
      <c r="I33" s="8" t="s">
        <v>25</v>
      </c>
      <c r="J33" s="8" t="s">
        <v>46</v>
      </c>
      <c r="K33" s="8" t="s">
        <v>50</v>
      </c>
      <c r="L33" s="10">
        <v>2544</v>
      </c>
      <c r="M33" s="17" t="s">
        <v>69</v>
      </c>
      <c r="N33" s="6">
        <v>2020</v>
      </c>
    </row>
    <row r="34" spans="1:14" x14ac:dyDescent="0.25">
      <c r="A34" s="6">
        <v>33</v>
      </c>
      <c r="B34" s="7">
        <v>43880</v>
      </c>
      <c r="C34" s="8" t="s">
        <v>13</v>
      </c>
      <c r="D34" s="8" t="s">
        <v>33</v>
      </c>
      <c r="E34" s="9" t="s">
        <v>47</v>
      </c>
      <c r="F34" s="8" t="s">
        <v>62</v>
      </c>
      <c r="G34" s="8">
        <v>0</v>
      </c>
      <c r="H34" s="8" t="s">
        <v>57</v>
      </c>
      <c r="I34" s="8" t="s">
        <v>53</v>
      </c>
      <c r="J34" s="8" t="s">
        <v>26</v>
      </c>
      <c r="K34" s="8" t="s">
        <v>31</v>
      </c>
      <c r="L34" s="10">
        <v>3411</v>
      </c>
      <c r="M34" s="17" t="s">
        <v>69</v>
      </c>
      <c r="N34" s="6">
        <v>2020</v>
      </c>
    </row>
    <row r="35" spans="1:14" x14ac:dyDescent="0.25">
      <c r="A35" s="6">
        <v>34</v>
      </c>
      <c r="B35" s="7">
        <v>43881</v>
      </c>
      <c r="C35" s="8" t="s">
        <v>56</v>
      </c>
      <c r="D35" s="8" t="s">
        <v>14</v>
      </c>
      <c r="E35" s="9" t="s">
        <v>34</v>
      </c>
      <c r="F35" s="8" t="s">
        <v>63</v>
      </c>
      <c r="G35" s="8">
        <v>0</v>
      </c>
      <c r="H35" s="8" t="s">
        <v>45</v>
      </c>
      <c r="I35" s="8" t="s">
        <v>18</v>
      </c>
      <c r="J35" s="8" t="s">
        <v>19</v>
      </c>
      <c r="K35" s="8" t="s">
        <v>27</v>
      </c>
      <c r="L35" s="10">
        <v>0</v>
      </c>
      <c r="M35" s="17" t="s">
        <v>69</v>
      </c>
      <c r="N35" s="6">
        <v>2020</v>
      </c>
    </row>
    <row r="36" spans="1:14" x14ac:dyDescent="0.25">
      <c r="A36" s="6">
        <v>35</v>
      </c>
      <c r="B36" s="7">
        <v>43883</v>
      </c>
      <c r="C36" s="8" t="s">
        <v>21</v>
      </c>
      <c r="D36" s="8" t="s">
        <v>14</v>
      </c>
      <c r="E36" s="9" t="s">
        <v>22</v>
      </c>
      <c r="F36" s="8" t="s">
        <v>62</v>
      </c>
      <c r="G36" s="8">
        <v>0</v>
      </c>
      <c r="H36" s="8" t="s">
        <v>30</v>
      </c>
      <c r="I36" s="8" t="s">
        <v>53</v>
      </c>
      <c r="J36" s="8" t="s">
        <v>19</v>
      </c>
      <c r="K36" s="8" t="s">
        <v>27</v>
      </c>
      <c r="L36" s="10">
        <v>4800</v>
      </c>
      <c r="M36" s="17" t="s">
        <v>69</v>
      </c>
      <c r="N36" s="6">
        <v>2020</v>
      </c>
    </row>
    <row r="37" spans="1:14" x14ac:dyDescent="0.25">
      <c r="A37" s="6">
        <v>36</v>
      </c>
      <c r="B37" s="7">
        <v>43888</v>
      </c>
      <c r="C37" s="8" t="s">
        <v>41</v>
      </c>
      <c r="D37" s="8" t="s">
        <v>14</v>
      </c>
      <c r="E37" s="9" t="s">
        <v>34</v>
      </c>
      <c r="F37" s="8" t="s">
        <v>62</v>
      </c>
      <c r="G37" s="8">
        <v>0</v>
      </c>
      <c r="H37" s="8" t="s">
        <v>55</v>
      </c>
      <c r="I37" s="8" t="s">
        <v>53</v>
      </c>
      <c r="J37" s="8" t="s">
        <v>46</v>
      </c>
      <c r="K37" s="8" t="s">
        <v>50</v>
      </c>
      <c r="L37" s="10">
        <v>3339</v>
      </c>
      <c r="M37" s="17" t="s">
        <v>69</v>
      </c>
      <c r="N37" s="6">
        <v>2020</v>
      </c>
    </row>
    <row r="38" spans="1:14" x14ac:dyDescent="0.25">
      <c r="A38" s="6">
        <v>37</v>
      </c>
      <c r="B38" s="7">
        <v>43889</v>
      </c>
      <c r="C38" s="8" t="s">
        <v>56</v>
      </c>
      <c r="D38" s="8" t="s">
        <v>14</v>
      </c>
      <c r="E38" s="9" t="s">
        <v>34</v>
      </c>
      <c r="F38" s="8" t="s">
        <v>36</v>
      </c>
      <c r="G38" s="8">
        <v>5</v>
      </c>
      <c r="H38" s="8" t="s">
        <v>57</v>
      </c>
      <c r="I38" s="8" t="s">
        <v>25</v>
      </c>
      <c r="J38" s="8" t="s">
        <v>46</v>
      </c>
      <c r="K38" s="8" t="s">
        <v>27</v>
      </c>
      <c r="L38" s="10">
        <v>4969</v>
      </c>
      <c r="M38" s="17" t="s">
        <v>69</v>
      </c>
      <c r="N38" s="6">
        <v>2020</v>
      </c>
    </row>
    <row r="39" spans="1:14" x14ac:dyDescent="0.25">
      <c r="A39" s="6">
        <v>38</v>
      </c>
      <c r="B39" s="7">
        <v>43891</v>
      </c>
      <c r="C39" s="8" t="s">
        <v>65</v>
      </c>
      <c r="D39" s="8" t="s">
        <v>14</v>
      </c>
      <c r="E39" s="9" t="s">
        <v>22</v>
      </c>
      <c r="F39" s="8" t="s">
        <v>48</v>
      </c>
      <c r="G39" s="8">
        <v>0</v>
      </c>
      <c r="H39" s="8" t="s">
        <v>57</v>
      </c>
      <c r="I39" s="8" t="s">
        <v>39</v>
      </c>
      <c r="J39" s="8" t="s">
        <v>19</v>
      </c>
      <c r="K39" s="8" t="s">
        <v>52</v>
      </c>
      <c r="L39" s="10">
        <v>360</v>
      </c>
      <c r="M39" s="17" t="s">
        <v>70</v>
      </c>
      <c r="N39" s="6">
        <v>2020</v>
      </c>
    </row>
    <row r="40" spans="1:14" x14ac:dyDescent="0.25">
      <c r="A40" s="6">
        <v>39</v>
      </c>
      <c r="B40" s="7">
        <v>43893</v>
      </c>
      <c r="C40" s="8" t="s">
        <v>28</v>
      </c>
      <c r="D40" s="8" t="s">
        <v>14</v>
      </c>
      <c r="E40" s="9" t="s">
        <v>15</v>
      </c>
      <c r="F40" s="8" t="s">
        <v>16</v>
      </c>
      <c r="G40" s="8">
        <v>0</v>
      </c>
      <c r="H40" s="8" t="s">
        <v>17</v>
      </c>
      <c r="I40" s="8" t="s">
        <v>18</v>
      </c>
      <c r="J40" s="8" t="s">
        <v>19</v>
      </c>
      <c r="K40" s="8" t="s">
        <v>52</v>
      </c>
      <c r="L40" s="10">
        <v>0</v>
      </c>
      <c r="M40" s="17" t="s">
        <v>70</v>
      </c>
      <c r="N40" s="6">
        <v>2020</v>
      </c>
    </row>
    <row r="41" spans="1:14" x14ac:dyDescent="0.25">
      <c r="A41" s="6">
        <v>40</v>
      </c>
      <c r="B41" s="7">
        <v>43893</v>
      </c>
      <c r="C41" s="8" t="s">
        <v>21</v>
      </c>
      <c r="D41" s="8" t="s">
        <v>14</v>
      </c>
      <c r="E41" s="9" t="s">
        <v>47</v>
      </c>
      <c r="F41" s="8" t="s">
        <v>38</v>
      </c>
      <c r="G41" s="8">
        <v>2.5</v>
      </c>
      <c r="H41" s="8" t="s">
        <v>49</v>
      </c>
      <c r="I41" s="8" t="s">
        <v>25</v>
      </c>
      <c r="J41" s="8" t="s">
        <v>26</v>
      </c>
      <c r="K41" s="8" t="s">
        <v>50</v>
      </c>
      <c r="L41" s="10">
        <v>4718</v>
      </c>
      <c r="M41" s="17" t="s">
        <v>70</v>
      </c>
      <c r="N41" s="6">
        <v>2020</v>
      </c>
    </row>
    <row r="42" spans="1:14" x14ac:dyDescent="0.25">
      <c r="A42" s="6">
        <v>41</v>
      </c>
      <c r="B42" s="7">
        <v>43896</v>
      </c>
      <c r="C42" s="8" t="s">
        <v>28</v>
      </c>
      <c r="D42" s="8" t="s">
        <v>14</v>
      </c>
      <c r="E42" s="9" t="s">
        <v>47</v>
      </c>
      <c r="F42" s="8" t="s">
        <v>16</v>
      </c>
      <c r="G42" s="8">
        <v>0</v>
      </c>
      <c r="H42" s="8" t="s">
        <v>37</v>
      </c>
      <c r="I42" s="8" t="s">
        <v>18</v>
      </c>
      <c r="J42" s="8" t="s">
        <v>46</v>
      </c>
      <c r="K42" s="8" t="s">
        <v>52</v>
      </c>
      <c r="L42" s="10">
        <v>0</v>
      </c>
      <c r="M42" s="17" t="s">
        <v>70</v>
      </c>
      <c r="N42" s="6">
        <v>2020</v>
      </c>
    </row>
    <row r="43" spans="1:14" x14ac:dyDescent="0.25">
      <c r="A43" s="6">
        <v>42</v>
      </c>
      <c r="B43" s="7">
        <v>43896</v>
      </c>
      <c r="C43" s="8" t="s">
        <v>61</v>
      </c>
      <c r="D43" s="8" t="s">
        <v>14</v>
      </c>
      <c r="E43" s="9" t="s">
        <v>15</v>
      </c>
      <c r="F43" s="8" t="s">
        <v>29</v>
      </c>
      <c r="G43" s="8">
        <v>0</v>
      </c>
      <c r="H43" s="8" t="s">
        <v>57</v>
      </c>
      <c r="I43" s="8" t="s">
        <v>39</v>
      </c>
      <c r="J43" s="8" t="s">
        <v>26</v>
      </c>
      <c r="K43" s="8" t="s">
        <v>52</v>
      </c>
      <c r="L43" s="10">
        <v>456</v>
      </c>
      <c r="M43" s="17" t="s">
        <v>70</v>
      </c>
      <c r="N43" s="6">
        <v>2020</v>
      </c>
    </row>
    <row r="44" spans="1:14" x14ac:dyDescent="0.25">
      <c r="A44" s="6">
        <v>43</v>
      </c>
      <c r="B44" s="7">
        <v>43897</v>
      </c>
      <c r="C44" s="8" t="s">
        <v>44</v>
      </c>
      <c r="D44" s="8" t="s">
        <v>14</v>
      </c>
      <c r="E44" s="9" t="s">
        <v>34</v>
      </c>
      <c r="F44" s="8" t="s">
        <v>48</v>
      </c>
      <c r="G44" s="8">
        <v>0</v>
      </c>
      <c r="H44" s="8" t="s">
        <v>24</v>
      </c>
      <c r="I44" s="8" t="s">
        <v>39</v>
      </c>
      <c r="J44" s="8" t="s">
        <v>46</v>
      </c>
      <c r="K44" s="8" t="s">
        <v>31</v>
      </c>
      <c r="L44" s="10">
        <v>307</v>
      </c>
      <c r="M44" s="17" t="s">
        <v>70</v>
      </c>
      <c r="N44" s="6">
        <v>2020</v>
      </c>
    </row>
    <row r="45" spans="1:14" x14ac:dyDescent="0.25">
      <c r="A45" s="6">
        <v>44</v>
      </c>
      <c r="B45" s="7">
        <v>43901</v>
      </c>
      <c r="C45" s="8" t="s">
        <v>51</v>
      </c>
      <c r="D45" s="8" t="s">
        <v>14</v>
      </c>
      <c r="E45" s="9" t="s">
        <v>47</v>
      </c>
      <c r="F45" s="8" t="s">
        <v>29</v>
      </c>
      <c r="G45" s="8">
        <v>0</v>
      </c>
      <c r="H45" s="8" t="s">
        <v>37</v>
      </c>
      <c r="I45" s="8" t="s">
        <v>18</v>
      </c>
      <c r="J45" s="8" t="s">
        <v>26</v>
      </c>
      <c r="K45" s="8" t="s">
        <v>50</v>
      </c>
      <c r="L45" s="10">
        <v>0</v>
      </c>
      <c r="M45" s="17" t="s">
        <v>70</v>
      </c>
      <c r="N45" s="6">
        <v>2020</v>
      </c>
    </row>
    <row r="46" spans="1:14" x14ac:dyDescent="0.25">
      <c r="A46" s="6">
        <v>45</v>
      </c>
      <c r="B46" s="7">
        <v>43902</v>
      </c>
      <c r="C46" s="8" t="s">
        <v>41</v>
      </c>
      <c r="D46" s="8" t="s">
        <v>33</v>
      </c>
      <c r="E46" s="9" t="s">
        <v>22</v>
      </c>
      <c r="F46" s="8" t="s">
        <v>48</v>
      </c>
      <c r="G46" s="8">
        <v>0</v>
      </c>
      <c r="H46" s="8" t="s">
        <v>49</v>
      </c>
      <c r="I46" s="8" t="s">
        <v>53</v>
      </c>
      <c r="J46" s="8" t="s">
        <v>26</v>
      </c>
      <c r="K46" s="8" t="s">
        <v>31</v>
      </c>
      <c r="L46" s="10">
        <v>4933</v>
      </c>
      <c r="M46" s="17" t="s">
        <v>70</v>
      </c>
      <c r="N46" s="6">
        <v>2020</v>
      </c>
    </row>
    <row r="47" spans="1:14" x14ac:dyDescent="0.25">
      <c r="A47" s="6">
        <v>46</v>
      </c>
      <c r="B47" s="7">
        <v>43907</v>
      </c>
      <c r="C47" s="8" t="s">
        <v>64</v>
      </c>
      <c r="D47" s="8" t="s">
        <v>14</v>
      </c>
      <c r="E47" s="9" t="s">
        <v>15</v>
      </c>
      <c r="F47" s="8" t="s">
        <v>63</v>
      </c>
      <c r="G47" s="8">
        <v>4.5</v>
      </c>
      <c r="H47" s="8" t="s">
        <v>17</v>
      </c>
      <c r="I47" s="8" t="s">
        <v>25</v>
      </c>
      <c r="J47" s="8" t="s">
        <v>26</v>
      </c>
      <c r="K47" s="8" t="s">
        <v>27</v>
      </c>
      <c r="L47" s="10">
        <v>3146</v>
      </c>
      <c r="M47" s="17" t="s">
        <v>70</v>
      </c>
      <c r="N47" s="6">
        <v>2020</v>
      </c>
    </row>
    <row r="48" spans="1:14" x14ac:dyDescent="0.25">
      <c r="A48" s="6">
        <v>47</v>
      </c>
      <c r="B48" s="7">
        <v>43910</v>
      </c>
      <c r="C48" s="8" t="s">
        <v>28</v>
      </c>
      <c r="D48" s="8" t="s">
        <v>14</v>
      </c>
      <c r="E48" s="9" t="s">
        <v>34</v>
      </c>
      <c r="F48" s="8" t="s">
        <v>36</v>
      </c>
      <c r="G48" s="8">
        <v>0</v>
      </c>
      <c r="H48" s="8" t="s">
        <v>57</v>
      </c>
      <c r="I48" s="8" t="s">
        <v>18</v>
      </c>
      <c r="J48" s="8" t="s">
        <v>26</v>
      </c>
      <c r="K48" s="8" t="s">
        <v>40</v>
      </c>
      <c r="L48" s="10">
        <v>0</v>
      </c>
      <c r="M48" s="17" t="s">
        <v>70</v>
      </c>
      <c r="N48" s="6">
        <v>2020</v>
      </c>
    </row>
    <row r="49" spans="1:14" x14ac:dyDescent="0.25">
      <c r="A49" s="6">
        <v>48</v>
      </c>
      <c r="B49" s="7">
        <v>43911</v>
      </c>
      <c r="C49" s="8" t="s">
        <v>56</v>
      </c>
      <c r="D49" s="8" t="s">
        <v>14</v>
      </c>
      <c r="E49" s="9" t="s">
        <v>34</v>
      </c>
      <c r="F49" s="8" t="s">
        <v>35</v>
      </c>
      <c r="G49" s="8">
        <v>0</v>
      </c>
      <c r="H49" s="8" t="s">
        <v>37</v>
      </c>
      <c r="I49" s="8" t="s">
        <v>53</v>
      </c>
      <c r="J49" s="8" t="s">
        <v>46</v>
      </c>
      <c r="K49" s="8" t="s">
        <v>59</v>
      </c>
      <c r="L49" s="10">
        <v>3084</v>
      </c>
      <c r="M49" s="17" t="s">
        <v>70</v>
      </c>
      <c r="N49" s="6">
        <v>2020</v>
      </c>
    </row>
    <row r="50" spans="1:14" x14ac:dyDescent="0.25">
      <c r="A50" s="6">
        <v>49</v>
      </c>
      <c r="B50" s="7">
        <v>43913</v>
      </c>
      <c r="C50" s="8" t="s">
        <v>13</v>
      </c>
      <c r="D50" s="8" t="s">
        <v>14</v>
      </c>
      <c r="E50" s="9" t="s">
        <v>34</v>
      </c>
      <c r="F50" s="8" t="s">
        <v>35</v>
      </c>
      <c r="G50" s="8">
        <v>0</v>
      </c>
      <c r="H50" s="8" t="s">
        <v>49</v>
      </c>
      <c r="I50" s="8" t="s">
        <v>18</v>
      </c>
      <c r="J50" s="8" t="s">
        <v>19</v>
      </c>
      <c r="K50" s="8" t="s">
        <v>54</v>
      </c>
      <c r="L50" s="10">
        <v>0</v>
      </c>
      <c r="M50" s="17" t="s">
        <v>70</v>
      </c>
      <c r="N50" s="6">
        <v>2020</v>
      </c>
    </row>
    <row r="51" spans="1:14" x14ac:dyDescent="0.25">
      <c r="A51" s="6">
        <v>50</v>
      </c>
      <c r="B51" s="7">
        <v>43924</v>
      </c>
      <c r="C51" s="8" t="s">
        <v>32</v>
      </c>
      <c r="D51" s="8" t="s">
        <v>14</v>
      </c>
      <c r="E51" s="9" t="s">
        <v>15</v>
      </c>
      <c r="F51" s="8" t="s">
        <v>16</v>
      </c>
      <c r="G51" s="8">
        <v>0</v>
      </c>
      <c r="H51" s="8" t="s">
        <v>45</v>
      </c>
      <c r="I51" s="8" t="s">
        <v>39</v>
      </c>
      <c r="J51" s="8" t="s">
        <v>46</v>
      </c>
      <c r="K51" s="8" t="s">
        <v>20</v>
      </c>
      <c r="L51" s="10">
        <v>260</v>
      </c>
      <c r="M51" s="17" t="s">
        <v>71</v>
      </c>
      <c r="N51" s="6">
        <v>2020</v>
      </c>
    </row>
    <row r="52" spans="1:14" x14ac:dyDescent="0.25">
      <c r="A52" s="6">
        <v>51</v>
      </c>
      <c r="B52" s="7">
        <v>43925</v>
      </c>
      <c r="C52" s="8" t="s">
        <v>65</v>
      </c>
      <c r="D52" s="8" t="s">
        <v>14</v>
      </c>
      <c r="E52" s="9" t="s">
        <v>34</v>
      </c>
      <c r="F52" s="8" t="s">
        <v>62</v>
      </c>
      <c r="G52" s="8">
        <v>0</v>
      </c>
      <c r="H52" s="8" t="s">
        <v>60</v>
      </c>
      <c r="I52" s="8" t="s">
        <v>39</v>
      </c>
      <c r="J52" s="8" t="s">
        <v>19</v>
      </c>
      <c r="K52" s="8" t="s">
        <v>59</v>
      </c>
      <c r="L52" s="10">
        <v>40</v>
      </c>
      <c r="M52" s="17" t="s">
        <v>71</v>
      </c>
      <c r="N52" s="6">
        <v>2020</v>
      </c>
    </row>
    <row r="53" spans="1:14" x14ac:dyDescent="0.25">
      <c r="A53" s="6">
        <v>52</v>
      </c>
      <c r="B53" s="7">
        <v>43925</v>
      </c>
      <c r="C53" s="8" t="s">
        <v>56</v>
      </c>
      <c r="D53" s="8" t="s">
        <v>14</v>
      </c>
      <c r="E53" s="9" t="s">
        <v>15</v>
      </c>
      <c r="F53" s="8" t="s">
        <v>23</v>
      </c>
      <c r="G53" s="8">
        <v>0</v>
      </c>
      <c r="H53" s="8" t="s">
        <v>57</v>
      </c>
      <c r="I53" s="8" t="s">
        <v>53</v>
      </c>
      <c r="J53" s="8" t="s">
        <v>26</v>
      </c>
      <c r="K53" s="8" t="s">
        <v>54</v>
      </c>
      <c r="L53" s="10">
        <v>2615</v>
      </c>
      <c r="M53" s="17" t="s">
        <v>71</v>
      </c>
      <c r="N53" s="6">
        <v>2020</v>
      </c>
    </row>
    <row r="54" spans="1:14" x14ac:dyDescent="0.25">
      <c r="A54" s="6">
        <v>53</v>
      </c>
      <c r="B54" s="7">
        <v>43925</v>
      </c>
      <c r="C54" s="8" t="s">
        <v>51</v>
      </c>
      <c r="D54" s="8" t="s">
        <v>14</v>
      </c>
      <c r="E54" s="9" t="s">
        <v>47</v>
      </c>
      <c r="F54" s="8" t="s">
        <v>35</v>
      </c>
      <c r="G54" s="8">
        <v>4.5</v>
      </c>
      <c r="H54" s="8" t="s">
        <v>57</v>
      </c>
      <c r="I54" s="8" t="s">
        <v>25</v>
      </c>
      <c r="J54" s="8" t="s">
        <v>26</v>
      </c>
      <c r="K54" s="8" t="s">
        <v>31</v>
      </c>
      <c r="L54" s="10">
        <v>450</v>
      </c>
      <c r="M54" s="17" t="s">
        <v>71</v>
      </c>
      <c r="N54" s="6">
        <v>2020</v>
      </c>
    </row>
    <row r="55" spans="1:14" x14ac:dyDescent="0.25">
      <c r="A55" s="6">
        <v>54</v>
      </c>
      <c r="B55" s="7">
        <v>43927</v>
      </c>
      <c r="C55" s="8" t="s">
        <v>21</v>
      </c>
      <c r="D55" s="8" t="s">
        <v>14</v>
      </c>
      <c r="E55" s="9" t="s">
        <v>47</v>
      </c>
      <c r="F55" s="8" t="s">
        <v>63</v>
      </c>
      <c r="G55" s="8">
        <v>0</v>
      </c>
      <c r="H55" s="8" t="s">
        <v>60</v>
      </c>
      <c r="I55" s="8" t="s">
        <v>53</v>
      </c>
      <c r="J55" s="8" t="s">
        <v>46</v>
      </c>
      <c r="K55" s="8" t="s">
        <v>54</v>
      </c>
      <c r="L55" s="10">
        <v>4462</v>
      </c>
      <c r="M55" s="17" t="s">
        <v>71</v>
      </c>
      <c r="N55" s="6">
        <v>2020</v>
      </c>
    </row>
    <row r="56" spans="1:14" x14ac:dyDescent="0.25">
      <c r="A56" s="6">
        <v>55</v>
      </c>
      <c r="B56" s="7">
        <v>43928</v>
      </c>
      <c r="C56" s="8" t="s">
        <v>32</v>
      </c>
      <c r="D56" s="8" t="s">
        <v>14</v>
      </c>
      <c r="E56" s="9" t="s">
        <v>34</v>
      </c>
      <c r="F56" s="8" t="s">
        <v>36</v>
      </c>
      <c r="G56" s="8">
        <v>0</v>
      </c>
      <c r="H56" s="8" t="s">
        <v>37</v>
      </c>
      <c r="I56" s="8" t="s">
        <v>39</v>
      </c>
      <c r="J56" s="8" t="s">
        <v>46</v>
      </c>
      <c r="K56" s="8" t="s">
        <v>43</v>
      </c>
      <c r="L56" s="10">
        <v>76</v>
      </c>
      <c r="M56" s="17" t="s">
        <v>71</v>
      </c>
      <c r="N56" s="6">
        <v>2020</v>
      </c>
    </row>
    <row r="57" spans="1:14" x14ac:dyDescent="0.25">
      <c r="A57" s="6">
        <v>56</v>
      </c>
      <c r="B57" s="7">
        <v>43933</v>
      </c>
      <c r="C57" s="8" t="s">
        <v>21</v>
      </c>
      <c r="D57" s="8" t="s">
        <v>14</v>
      </c>
      <c r="E57" s="9" t="s">
        <v>47</v>
      </c>
      <c r="F57" s="8" t="s">
        <v>48</v>
      </c>
      <c r="G57" s="8">
        <v>0</v>
      </c>
      <c r="H57" s="8" t="s">
        <v>37</v>
      </c>
      <c r="I57" s="8" t="s">
        <v>39</v>
      </c>
      <c r="J57" s="8" t="s">
        <v>46</v>
      </c>
      <c r="K57" s="8" t="s">
        <v>50</v>
      </c>
      <c r="L57" s="10">
        <v>297</v>
      </c>
      <c r="M57" s="17" t="s">
        <v>71</v>
      </c>
      <c r="N57" s="6">
        <v>2020</v>
      </c>
    </row>
    <row r="58" spans="1:14" x14ac:dyDescent="0.25">
      <c r="A58" s="6">
        <v>57</v>
      </c>
      <c r="B58" s="7">
        <v>43934</v>
      </c>
      <c r="C58" s="8" t="s">
        <v>28</v>
      </c>
      <c r="D58" s="8" t="s">
        <v>33</v>
      </c>
      <c r="E58" s="9" t="s">
        <v>47</v>
      </c>
      <c r="F58" s="8" t="s">
        <v>23</v>
      </c>
      <c r="G58" s="8">
        <v>4.5</v>
      </c>
      <c r="H58" s="8" t="s">
        <v>24</v>
      </c>
      <c r="I58" s="8" t="s">
        <v>25</v>
      </c>
      <c r="J58" s="8" t="s">
        <v>46</v>
      </c>
      <c r="K58" s="8" t="s">
        <v>27</v>
      </c>
      <c r="L58" s="10">
        <v>1152</v>
      </c>
      <c r="M58" s="17" t="s">
        <v>71</v>
      </c>
      <c r="N58" s="6">
        <v>2020</v>
      </c>
    </row>
    <row r="59" spans="1:14" x14ac:dyDescent="0.25">
      <c r="A59" s="6">
        <v>58</v>
      </c>
      <c r="B59" s="7">
        <v>43934</v>
      </c>
      <c r="C59" s="8" t="s">
        <v>32</v>
      </c>
      <c r="D59" s="8" t="s">
        <v>14</v>
      </c>
      <c r="E59" s="9" t="s">
        <v>34</v>
      </c>
      <c r="F59" s="8" t="s">
        <v>63</v>
      </c>
      <c r="G59" s="8">
        <v>0</v>
      </c>
      <c r="H59" s="8" t="s">
        <v>60</v>
      </c>
      <c r="I59" s="8" t="s">
        <v>18</v>
      </c>
      <c r="J59" s="8" t="s">
        <v>26</v>
      </c>
      <c r="K59" s="8" t="s">
        <v>54</v>
      </c>
      <c r="L59" s="10">
        <v>0</v>
      </c>
      <c r="M59" s="17" t="s">
        <v>71</v>
      </c>
      <c r="N59" s="6">
        <v>2020</v>
      </c>
    </row>
    <row r="60" spans="1:14" x14ac:dyDescent="0.25">
      <c r="A60" s="6">
        <v>59</v>
      </c>
      <c r="B60" s="7">
        <v>43935</v>
      </c>
      <c r="C60" s="8" t="s">
        <v>56</v>
      </c>
      <c r="D60" s="8" t="s">
        <v>14</v>
      </c>
      <c r="E60" s="9" t="s">
        <v>15</v>
      </c>
      <c r="F60" s="8" t="s">
        <v>16</v>
      </c>
      <c r="G60" s="8">
        <v>0</v>
      </c>
      <c r="H60" s="8" t="s">
        <v>55</v>
      </c>
      <c r="I60" s="8" t="s">
        <v>39</v>
      </c>
      <c r="J60" s="8" t="s">
        <v>46</v>
      </c>
      <c r="K60" s="8" t="s">
        <v>43</v>
      </c>
      <c r="L60" s="10">
        <v>173</v>
      </c>
      <c r="M60" s="17" t="s">
        <v>71</v>
      </c>
      <c r="N60" s="6">
        <v>2020</v>
      </c>
    </row>
    <row r="61" spans="1:14" x14ac:dyDescent="0.25">
      <c r="A61" s="6">
        <v>60</v>
      </c>
      <c r="B61" s="7">
        <v>43935</v>
      </c>
      <c r="C61" s="8" t="s">
        <v>51</v>
      </c>
      <c r="D61" s="8" t="s">
        <v>14</v>
      </c>
      <c r="E61" s="9" t="s">
        <v>22</v>
      </c>
      <c r="F61" s="8" t="s">
        <v>48</v>
      </c>
      <c r="G61" s="8">
        <v>0</v>
      </c>
      <c r="H61" s="8" t="s">
        <v>57</v>
      </c>
      <c r="I61" s="8" t="s">
        <v>18</v>
      </c>
      <c r="J61" s="8" t="s">
        <v>46</v>
      </c>
      <c r="K61" s="8" t="s">
        <v>54</v>
      </c>
      <c r="L61" s="10">
        <v>0</v>
      </c>
      <c r="M61" s="17" t="s">
        <v>71</v>
      </c>
      <c r="N61" s="6">
        <v>2020</v>
      </c>
    </row>
    <row r="62" spans="1:14" x14ac:dyDescent="0.25">
      <c r="A62" s="6">
        <v>61</v>
      </c>
      <c r="B62" s="7">
        <v>43936</v>
      </c>
      <c r="C62" s="8" t="s">
        <v>56</v>
      </c>
      <c r="D62" s="8" t="s">
        <v>14</v>
      </c>
      <c r="E62" s="9" t="s">
        <v>22</v>
      </c>
      <c r="F62" s="8" t="s">
        <v>35</v>
      </c>
      <c r="G62" s="8">
        <v>1.5</v>
      </c>
      <c r="H62" s="8" t="s">
        <v>60</v>
      </c>
      <c r="I62" s="8" t="s">
        <v>25</v>
      </c>
      <c r="J62" s="8" t="s">
        <v>19</v>
      </c>
      <c r="K62" s="8" t="s">
        <v>52</v>
      </c>
      <c r="L62" s="10">
        <v>4731</v>
      </c>
      <c r="M62" s="17" t="s">
        <v>71</v>
      </c>
      <c r="N62" s="6">
        <v>2020</v>
      </c>
    </row>
    <row r="63" spans="1:14" x14ac:dyDescent="0.25">
      <c r="A63" s="6">
        <v>62</v>
      </c>
      <c r="B63" s="7">
        <v>43937</v>
      </c>
      <c r="C63" s="8" t="s">
        <v>28</v>
      </c>
      <c r="D63" s="8" t="s">
        <v>14</v>
      </c>
      <c r="E63" s="9" t="s">
        <v>34</v>
      </c>
      <c r="F63" s="8" t="s">
        <v>16</v>
      </c>
      <c r="G63" s="8">
        <v>0</v>
      </c>
      <c r="H63" s="8" t="s">
        <v>17</v>
      </c>
      <c r="I63" s="8" t="s">
        <v>39</v>
      </c>
      <c r="J63" s="8" t="s">
        <v>19</v>
      </c>
      <c r="K63" s="8" t="s">
        <v>20</v>
      </c>
      <c r="L63" s="10">
        <v>155</v>
      </c>
      <c r="M63" s="17" t="s">
        <v>71</v>
      </c>
      <c r="N63" s="6">
        <v>2020</v>
      </c>
    </row>
    <row r="64" spans="1:14" x14ac:dyDescent="0.25">
      <c r="A64" s="6">
        <v>63</v>
      </c>
      <c r="B64" s="7">
        <v>43938</v>
      </c>
      <c r="C64" s="8" t="s">
        <v>64</v>
      </c>
      <c r="D64" s="8" t="s">
        <v>14</v>
      </c>
      <c r="E64" s="9" t="s">
        <v>15</v>
      </c>
      <c r="F64" s="8" t="s">
        <v>38</v>
      </c>
      <c r="G64" s="8">
        <v>3</v>
      </c>
      <c r="H64" s="8" t="s">
        <v>30</v>
      </c>
      <c r="I64" s="8" t="s">
        <v>25</v>
      </c>
      <c r="J64" s="8" t="s">
        <v>46</v>
      </c>
      <c r="K64" s="8" t="s">
        <v>31</v>
      </c>
      <c r="L64" s="10">
        <v>3425</v>
      </c>
      <c r="M64" s="17" t="s">
        <v>71</v>
      </c>
      <c r="N64" s="6">
        <v>2020</v>
      </c>
    </row>
    <row r="65" spans="1:14" x14ac:dyDescent="0.25">
      <c r="A65" s="6">
        <v>64</v>
      </c>
      <c r="B65" s="7">
        <v>43939</v>
      </c>
      <c r="C65" s="8" t="s">
        <v>41</v>
      </c>
      <c r="D65" s="8" t="s">
        <v>14</v>
      </c>
      <c r="E65" s="9" t="s">
        <v>47</v>
      </c>
      <c r="F65" s="8" t="s">
        <v>16</v>
      </c>
      <c r="G65" s="8">
        <v>0</v>
      </c>
      <c r="H65" s="8" t="s">
        <v>24</v>
      </c>
      <c r="I65" s="8" t="s">
        <v>18</v>
      </c>
      <c r="J65" s="8" t="s">
        <v>46</v>
      </c>
      <c r="K65" s="8" t="s">
        <v>31</v>
      </c>
      <c r="L65" s="10">
        <v>0</v>
      </c>
      <c r="M65" s="17" t="s">
        <v>71</v>
      </c>
      <c r="N65" s="6">
        <v>2020</v>
      </c>
    </row>
    <row r="66" spans="1:14" x14ac:dyDescent="0.25">
      <c r="A66" s="6">
        <v>65</v>
      </c>
      <c r="B66" s="7">
        <v>43942</v>
      </c>
      <c r="C66" s="8" t="s">
        <v>51</v>
      </c>
      <c r="D66" s="8" t="s">
        <v>14</v>
      </c>
      <c r="E66" s="9" t="s">
        <v>47</v>
      </c>
      <c r="F66" s="8" t="s">
        <v>29</v>
      </c>
      <c r="G66" s="8">
        <v>3</v>
      </c>
      <c r="H66" s="8" t="s">
        <v>45</v>
      </c>
      <c r="I66" s="8" t="s">
        <v>25</v>
      </c>
      <c r="J66" s="8" t="s">
        <v>46</v>
      </c>
      <c r="K66" s="8" t="s">
        <v>27</v>
      </c>
      <c r="L66" s="10">
        <v>2627</v>
      </c>
      <c r="M66" s="17" t="s">
        <v>71</v>
      </c>
      <c r="N66" s="6">
        <v>2020</v>
      </c>
    </row>
    <row r="67" spans="1:14" x14ac:dyDescent="0.25">
      <c r="A67" s="6">
        <v>66</v>
      </c>
      <c r="B67" s="7">
        <v>43942</v>
      </c>
      <c r="C67" s="8" t="s">
        <v>61</v>
      </c>
      <c r="D67" s="8" t="s">
        <v>33</v>
      </c>
      <c r="E67" s="9" t="s">
        <v>47</v>
      </c>
      <c r="F67" s="8" t="s">
        <v>23</v>
      </c>
      <c r="G67" s="8">
        <v>4</v>
      </c>
      <c r="H67" s="8" t="s">
        <v>55</v>
      </c>
      <c r="I67" s="8" t="s">
        <v>25</v>
      </c>
      <c r="J67" s="8" t="s">
        <v>19</v>
      </c>
      <c r="K67" s="8" t="s">
        <v>52</v>
      </c>
      <c r="L67" s="10">
        <v>3680</v>
      </c>
      <c r="M67" s="17" t="s">
        <v>71</v>
      </c>
      <c r="N67" s="6">
        <v>2020</v>
      </c>
    </row>
    <row r="68" spans="1:14" x14ac:dyDescent="0.25">
      <c r="A68" s="6">
        <v>67</v>
      </c>
      <c r="B68" s="7">
        <v>43943</v>
      </c>
      <c r="C68" s="8" t="s">
        <v>32</v>
      </c>
      <c r="D68" s="8" t="s">
        <v>14</v>
      </c>
      <c r="E68" s="9" t="s">
        <v>34</v>
      </c>
      <c r="F68" s="8" t="s">
        <v>23</v>
      </c>
      <c r="G68" s="8">
        <v>0</v>
      </c>
      <c r="H68" s="8" t="s">
        <v>17</v>
      </c>
      <c r="I68" s="8" t="s">
        <v>39</v>
      </c>
      <c r="J68" s="8" t="s">
        <v>26</v>
      </c>
      <c r="K68" s="8" t="s">
        <v>31</v>
      </c>
      <c r="L68" s="10">
        <v>281</v>
      </c>
      <c r="M68" s="17" t="s">
        <v>71</v>
      </c>
      <c r="N68" s="6">
        <v>2020</v>
      </c>
    </row>
    <row r="69" spans="1:14" x14ac:dyDescent="0.25">
      <c r="A69" s="6">
        <v>68</v>
      </c>
      <c r="B69" s="7">
        <v>43943</v>
      </c>
      <c r="C69" s="8" t="s">
        <v>32</v>
      </c>
      <c r="D69" s="8" t="s">
        <v>14</v>
      </c>
      <c r="E69" s="9" t="s">
        <v>22</v>
      </c>
      <c r="F69" s="8" t="s">
        <v>62</v>
      </c>
      <c r="G69" s="8">
        <v>0</v>
      </c>
      <c r="H69" s="8" t="s">
        <v>17</v>
      </c>
      <c r="I69" s="8" t="s">
        <v>18</v>
      </c>
      <c r="J69" s="8" t="s">
        <v>19</v>
      </c>
      <c r="K69" s="8" t="s">
        <v>40</v>
      </c>
      <c r="L69" s="10">
        <v>0</v>
      </c>
      <c r="M69" s="17" t="s">
        <v>71</v>
      </c>
      <c r="N69" s="6">
        <v>2020</v>
      </c>
    </row>
    <row r="70" spans="1:14" x14ac:dyDescent="0.25">
      <c r="A70" s="6">
        <v>69</v>
      </c>
      <c r="B70" s="7">
        <v>43945</v>
      </c>
      <c r="C70" s="8" t="s">
        <v>56</v>
      </c>
      <c r="D70" s="8" t="s">
        <v>14</v>
      </c>
      <c r="E70" s="9" t="s">
        <v>15</v>
      </c>
      <c r="F70" s="8" t="s">
        <v>36</v>
      </c>
      <c r="G70" s="8">
        <v>1</v>
      </c>
      <c r="H70" s="8" t="s">
        <v>57</v>
      </c>
      <c r="I70" s="8" t="s">
        <v>25</v>
      </c>
      <c r="J70" s="8" t="s">
        <v>26</v>
      </c>
      <c r="K70" s="8" t="s">
        <v>50</v>
      </c>
      <c r="L70" s="10">
        <v>3954</v>
      </c>
      <c r="M70" s="17" t="s">
        <v>71</v>
      </c>
      <c r="N70" s="6">
        <v>2020</v>
      </c>
    </row>
    <row r="71" spans="1:14" x14ac:dyDescent="0.25">
      <c r="A71" s="6">
        <v>70</v>
      </c>
      <c r="B71" s="7">
        <v>43946</v>
      </c>
      <c r="C71" s="8" t="s">
        <v>28</v>
      </c>
      <c r="D71" s="8" t="s">
        <v>33</v>
      </c>
      <c r="E71" s="9" t="s">
        <v>47</v>
      </c>
      <c r="F71" s="8" t="s">
        <v>62</v>
      </c>
      <c r="G71" s="8">
        <v>0</v>
      </c>
      <c r="H71" s="8" t="s">
        <v>57</v>
      </c>
      <c r="I71" s="8" t="s">
        <v>18</v>
      </c>
      <c r="J71" s="8" t="s">
        <v>26</v>
      </c>
      <c r="K71" s="8" t="s">
        <v>43</v>
      </c>
      <c r="L71" s="10">
        <v>0</v>
      </c>
      <c r="M71" s="17" t="s">
        <v>71</v>
      </c>
      <c r="N71" s="6">
        <v>2020</v>
      </c>
    </row>
    <row r="72" spans="1:14" x14ac:dyDescent="0.25">
      <c r="A72" s="6">
        <v>71</v>
      </c>
      <c r="B72" s="7">
        <v>43948</v>
      </c>
      <c r="C72" s="8" t="s">
        <v>65</v>
      </c>
      <c r="D72" s="8" t="s">
        <v>33</v>
      </c>
      <c r="E72" s="9" t="s">
        <v>47</v>
      </c>
      <c r="F72" s="8" t="s">
        <v>63</v>
      </c>
      <c r="G72" s="8">
        <v>0</v>
      </c>
      <c r="H72" s="8" t="s">
        <v>45</v>
      </c>
      <c r="I72" s="8" t="s">
        <v>18</v>
      </c>
      <c r="J72" s="8" t="s">
        <v>26</v>
      </c>
      <c r="K72" s="8" t="s">
        <v>43</v>
      </c>
      <c r="L72" s="10">
        <v>0</v>
      </c>
      <c r="M72" s="17" t="s">
        <v>71</v>
      </c>
      <c r="N72" s="6">
        <v>2020</v>
      </c>
    </row>
    <row r="73" spans="1:14" x14ac:dyDescent="0.25">
      <c r="A73" s="6">
        <v>72</v>
      </c>
      <c r="B73" s="7">
        <v>43953</v>
      </c>
      <c r="C73" s="8" t="s">
        <v>32</v>
      </c>
      <c r="D73" s="8" t="s">
        <v>14</v>
      </c>
      <c r="E73" s="9" t="s">
        <v>15</v>
      </c>
      <c r="F73" s="8" t="s">
        <v>36</v>
      </c>
      <c r="G73" s="8">
        <v>0</v>
      </c>
      <c r="H73" s="8" t="s">
        <v>60</v>
      </c>
      <c r="I73" s="8" t="s">
        <v>53</v>
      </c>
      <c r="J73" s="8" t="s">
        <v>26</v>
      </c>
      <c r="K73" s="8" t="s">
        <v>50</v>
      </c>
      <c r="L73" s="10">
        <v>2461</v>
      </c>
      <c r="M73" s="17" t="s">
        <v>72</v>
      </c>
      <c r="N73" s="6">
        <v>2020</v>
      </c>
    </row>
    <row r="74" spans="1:14" x14ac:dyDescent="0.25">
      <c r="A74" s="6">
        <v>73</v>
      </c>
      <c r="B74" s="7">
        <v>43955</v>
      </c>
      <c r="C74" s="8" t="s">
        <v>61</v>
      </c>
      <c r="D74" s="8" t="s">
        <v>14</v>
      </c>
      <c r="E74" s="9" t="s">
        <v>42</v>
      </c>
      <c r="F74" s="8" t="s">
        <v>29</v>
      </c>
      <c r="G74" s="8">
        <v>0</v>
      </c>
      <c r="H74" s="8" t="s">
        <v>60</v>
      </c>
      <c r="I74" s="8" t="s">
        <v>53</v>
      </c>
      <c r="J74" s="8" t="s">
        <v>26</v>
      </c>
      <c r="K74" s="8" t="s">
        <v>31</v>
      </c>
      <c r="L74" s="10">
        <v>3851</v>
      </c>
      <c r="M74" s="17" t="s">
        <v>72</v>
      </c>
      <c r="N74" s="6">
        <v>2020</v>
      </c>
    </row>
    <row r="75" spans="1:14" x14ac:dyDescent="0.25">
      <c r="A75" s="6">
        <v>74</v>
      </c>
      <c r="B75" s="7">
        <v>43956</v>
      </c>
      <c r="C75" s="8" t="s">
        <v>44</v>
      </c>
      <c r="D75" s="8" t="s">
        <v>14</v>
      </c>
      <c r="E75" s="9" t="s">
        <v>15</v>
      </c>
      <c r="F75" s="8" t="s">
        <v>16</v>
      </c>
      <c r="G75" s="8">
        <v>0</v>
      </c>
      <c r="H75" s="8" t="s">
        <v>49</v>
      </c>
      <c r="I75" s="8" t="s">
        <v>39</v>
      </c>
      <c r="J75" s="8" t="s">
        <v>46</v>
      </c>
      <c r="K75" s="8" t="s">
        <v>54</v>
      </c>
      <c r="L75" s="10">
        <v>224</v>
      </c>
      <c r="M75" s="17" t="s">
        <v>72</v>
      </c>
      <c r="N75" s="6">
        <v>2020</v>
      </c>
    </row>
    <row r="76" spans="1:14" x14ac:dyDescent="0.25">
      <c r="A76" s="6">
        <v>75</v>
      </c>
      <c r="B76" s="7">
        <v>43958</v>
      </c>
      <c r="C76" s="8" t="s">
        <v>41</v>
      </c>
      <c r="D76" s="8" t="s">
        <v>14</v>
      </c>
      <c r="E76" s="9" t="s">
        <v>34</v>
      </c>
      <c r="F76" s="8" t="s">
        <v>36</v>
      </c>
      <c r="G76" s="8">
        <v>4</v>
      </c>
      <c r="H76" s="8" t="s">
        <v>49</v>
      </c>
      <c r="I76" s="8" t="s">
        <v>25</v>
      </c>
      <c r="J76" s="8" t="s">
        <v>46</v>
      </c>
      <c r="K76" s="8" t="s">
        <v>54</v>
      </c>
      <c r="L76" s="10">
        <v>3969</v>
      </c>
      <c r="M76" s="17" t="s">
        <v>72</v>
      </c>
      <c r="N76" s="6">
        <v>2020</v>
      </c>
    </row>
    <row r="77" spans="1:14" x14ac:dyDescent="0.25">
      <c r="A77" s="6">
        <v>76</v>
      </c>
      <c r="B77" s="7">
        <v>43959</v>
      </c>
      <c r="C77" s="8" t="s">
        <v>51</v>
      </c>
      <c r="D77" s="8" t="s">
        <v>14</v>
      </c>
      <c r="E77" s="9" t="s">
        <v>15</v>
      </c>
      <c r="F77" s="8" t="s">
        <v>16</v>
      </c>
      <c r="G77" s="8">
        <v>0</v>
      </c>
      <c r="H77" s="8" t="s">
        <v>24</v>
      </c>
      <c r="I77" s="8" t="s">
        <v>39</v>
      </c>
      <c r="J77" s="8" t="s">
        <v>46</v>
      </c>
      <c r="K77" s="8" t="s">
        <v>31</v>
      </c>
      <c r="L77" s="10">
        <v>434</v>
      </c>
      <c r="M77" s="17" t="s">
        <v>72</v>
      </c>
      <c r="N77" s="6">
        <v>2020</v>
      </c>
    </row>
    <row r="78" spans="1:14" x14ac:dyDescent="0.25">
      <c r="A78" s="6">
        <v>77</v>
      </c>
      <c r="B78" s="7">
        <v>43959</v>
      </c>
      <c r="C78" s="8" t="s">
        <v>41</v>
      </c>
      <c r="D78" s="8" t="s">
        <v>14</v>
      </c>
      <c r="E78" s="9" t="s">
        <v>47</v>
      </c>
      <c r="F78" s="8" t="s">
        <v>38</v>
      </c>
      <c r="G78" s="8">
        <v>1</v>
      </c>
      <c r="H78" s="8" t="s">
        <v>37</v>
      </c>
      <c r="I78" s="8" t="s">
        <v>25</v>
      </c>
      <c r="J78" s="8" t="s">
        <v>46</v>
      </c>
      <c r="K78" s="8" t="s">
        <v>59</v>
      </c>
      <c r="L78" s="10">
        <v>1173</v>
      </c>
      <c r="M78" s="17" t="s">
        <v>72</v>
      </c>
      <c r="N78" s="6">
        <v>2020</v>
      </c>
    </row>
    <row r="79" spans="1:14" x14ac:dyDescent="0.25">
      <c r="A79" s="6">
        <v>78</v>
      </c>
      <c r="B79" s="7">
        <v>43960</v>
      </c>
      <c r="C79" s="8" t="s">
        <v>28</v>
      </c>
      <c r="D79" s="8" t="s">
        <v>14</v>
      </c>
      <c r="E79" s="9" t="s">
        <v>34</v>
      </c>
      <c r="F79" s="8" t="s">
        <v>48</v>
      </c>
      <c r="G79" s="8">
        <v>0</v>
      </c>
      <c r="H79" s="8" t="s">
        <v>24</v>
      </c>
      <c r="I79" s="8" t="s">
        <v>39</v>
      </c>
      <c r="J79" s="8" t="s">
        <v>19</v>
      </c>
      <c r="K79" s="8" t="s">
        <v>50</v>
      </c>
      <c r="L79" s="10">
        <v>236</v>
      </c>
      <c r="M79" s="17" t="s">
        <v>72</v>
      </c>
      <c r="N79" s="6">
        <v>2020</v>
      </c>
    </row>
    <row r="80" spans="1:14" x14ac:dyDescent="0.25">
      <c r="A80" s="6">
        <v>79</v>
      </c>
      <c r="B80" s="7">
        <v>43961</v>
      </c>
      <c r="C80" s="8" t="s">
        <v>65</v>
      </c>
      <c r="D80" s="8" t="s">
        <v>14</v>
      </c>
      <c r="E80" s="9" t="s">
        <v>47</v>
      </c>
      <c r="F80" s="8" t="s">
        <v>36</v>
      </c>
      <c r="G80" s="8">
        <v>0</v>
      </c>
      <c r="H80" s="8" t="s">
        <v>17</v>
      </c>
      <c r="I80" s="8" t="s">
        <v>18</v>
      </c>
      <c r="J80" s="8" t="s">
        <v>26</v>
      </c>
      <c r="K80" s="8" t="s">
        <v>31</v>
      </c>
      <c r="L80" s="10">
        <v>0</v>
      </c>
      <c r="M80" s="17" t="s">
        <v>72</v>
      </c>
      <c r="N80" s="6">
        <v>2020</v>
      </c>
    </row>
    <row r="81" spans="1:14" x14ac:dyDescent="0.25">
      <c r="A81" s="6">
        <v>80</v>
      </c>
      <c r="B81" s="7">
        <v>43961</v>
      </c>
      <c r="C81" s="8" t="s">
        <v>44</v>
      </c>
      <c r="D81" s="8" t="s">
        <v>14</v>
      </c>
      <c r="E81" s="9" t="s">
        <v>47</v>
      </c>
      <c r="F81" s="8" t="s">
        <v>38</v>
      </c>
      <c r="G81" s="8">
        <v>1.5</v>
      </c>
      <c r="H81" s="8" t="s">
        <v>57</v>
      </c>
      <c r="I81" s="8" t="s">
        <v>25</v>
      </c>
      <c r="J81" s="8" t="s">
        <v>46</v>
      </c>
      <c r="K81" s="8" t="s">
        <v>50</v>
      </c>
      <c r="L81" s="10">
        <v>1592</v>
      </c>
      <c r="M81" s="17" t="s">
        <v>72</v>
      </c>
      <c r="N81" s="6">
        <v>2020</v>
      </c>
    </row>
    <row r="82" spans="1:14" x14ac:dyDescent="0.25">
      <c r="A82" s="6">
        <v>81</v>
      </c>
      <c r="B82" s="7">
        <v>43962</v>
      </c>
      <c r="C82" s="8" t="s">
        <v>64</v>
      </c>
      <c r="D82" s="8" t="s">
        <v>14</v>
      </c>
      <c r="E82" s="9" t="s">
        <v>47</v>
      </c>
      <c r="F82" s="8" t="s">
        <v>63</v>
      </c>
      <c r="G82" s="8">
        <v>0</v>
      </c>
      <c r="H82" s="8" t="s">
        <v>30</v>
      </c>
      <c r="I82" s="8" t="s">
        <v>18</v>
      </c>
      <c r="J82" s="8" t="s">
        <v>46</v>
      </c>
      <c r="K82" s="8" t="s">
        <v>52</v>
      </c>
      <c r="L82" s="10">
        <v>0</v>
      </c>
      <c r="M82" s="17" t="s">
        <v>72</v>
      </c>
      <c r="N82" s="6">
        <v>2020</v>
      </c>
    </row>
    <row r="83" spans="1:14" x14ac:dyDescent="0.25">
      <c r="A83" s="6">
        <v>82</v>
      </c>
      <c r="B83" s="7">
        <v>43964</v>
      </c>
      <c r="C83" s="8" t="s">
        <v>44</v>
      </c>
      <c r="D83" s="8" t="s">
        <v>14</v>
      </c>
      <c r="E83" s="9" t="s">
        <v>15</v>
      </c>
      <c r="F83" s="8" t="s">
        <v>48</v>
      </c>
      <c r="G83" s="8">
        <v>0</v>
      </c>
      <c r="H83" s="8" t="s">
        <v>57</v>
      </c>
      <c r="I83" s="8" t="s">
        <v>18</v>
      </c>
      <c r="J83" s="8" t="s">
        <v>19</v>
      </c>
      <c r="K83" s="8" t="s">
        <v>59</v>
      </c>
      <c r="L83" s="10">
        <v>0</v>
      </c>
      <c r="M83" s="17" t="s">
        <v>72</v>
      </c>
      <c r="N83" s="6">
        <v>2020</v>
      </c>
    </row>
    <row r="84" spans="1:14" x14ac:dyDescent="0.25">
      <c r="A84" s="6">
        <v>83</v>
      </c>
      <c r="B84" s="7">
        <v>43964</v>
      </c>
      <c r="C84" s="8" t="s">
        <v>41</v>
      </c>
      <c r="D84" s="8" t="s">
        <v>14</v>
      </c>
      <c r="E84" s="9" t="s">
        <v>22</v>
      </c>
      <c r="F84" s="8" t="s">
        <v>29</v>
      </c>
      <c r="G84" s="8">
        <v>0</v>
      </c>
      <c r="H84" s="8" t="s">
        <v>60</v>
      </c>
      <c r="I84" s="8" t="s">
        <v>39</v>
      </c>
      <c r="J84" s="8" t="s">
        <v>46</v>
      </c>
      <c r="K84" s="8" t="s">
        <v>50</v>
      </c>
      <c r="L84" s="10">
        <v>457</v>
      </c>
      <c r="M84" s="17" t="s">
        <v>72</v>
      </c>
      <c r="N84" s="6">
        <v>2020</v>
      </c>
    </row>
    <row r="85" spans="1:14" x14ac:dyDescent="0.25">
      <c r="A85" s="6">
        <v>84</v>
      </c>
      <c r="B85" s="7">
        <v>43968</v>
      </c>
      <c r="C85" s="8" t="s">
        <v>21</v>
      </c>
      <c r="D85" s="8" t="s">
        <v>14</v>
      </c>
      <c r="E85" s="9" t="s">
        <v>15</v>
      </c>
      <c r="F85" s="8" t="s">
        <v>29</v>
      </c>
      <c r="G85" s="8">
        <v>0</v>
      </c>
      <c r="H85" s="8" t="s">
        <v>37</v>
      </c>
      <c r="I85" s="8" t="s">
        <v>18</v>
      </c>
      <c r="J85" s="8" t="s">
        <v>26</v>
      </c>
      <c r="K85" s="8" t="s">
        <v>40</v>
      </c>
      <c r="L85" s="10">
        <v>0</v>
      </c>
      <c r="M85" s="17" t="s">
        <v>72</v>
      </c>
      <c r="N85" s="6">
        <v>2020</v>
      </c>
    </row>
    <row r="86" spans="1:14" x14ac:dyDescent="0.25">
      <c r="A86" s="6">
        <v>85</v>
      </c>
      <c r="B86" s="7">
        <v>43968</v>
      </c>
      <c r="C86" s="8" t="s">
        <v>61</v>
      </c>
      <c r="D86" s="8" t="s">
        <v>14</v>
      </c>
      <c r="E86" s="9" t="s">
        <v>42</v>
      </c>
      <c r="F86" s="8" t="s">
        <v>48</v>
      </c>
      <c r="G86" s="8">
        <v>0</v>
      </c>
      <c r="H86" s="8" t="s">
        <v>37</v>
      </c>
      <c r="I86" s="8" t="s">
        <v>39</v>
      </c>
      <c r="J86" s="8" t="s">
        <v>19</v>
      </c>
      <c r="K86" s="8" t="s">
        <v>40</v>
      </c>
      <c r="L86" s="10">
        <v>247</v>
      </c>
      <c r="M86" s="17" t="s">
        <v>72</v>
      </c>
      <c r="N86" s="6">
        <v>2020</v>
      </c>
    </row>
    <row r="87" spans="1:14" x14ac:dyDescent="0.25">
      <c r="A87" s="6">
        <v>86</v>
      </c>
      <c r="B87" s="7">
        <v>43970</v>
      </c>
      <c r="C87" s="8" t="s">
        <v>58</v>
      </c>
      <c r="D87" s="8" t="s">
        <v>14</v>
      </c>
      <c r="E87" s="9" t="s">
        <v>22</v>
      </c>
      <c r="F87" s="8" t="s">
        <v>38</v>
      </c>
      <c r="G87" s="8">
        <v>0</v>
      </c>
      <c r="H87" s="8" t="s">
        <v>30</v>
      </c>
      <c r="I87" s="8" t="s">
        <v>39</v>
      </c>
      <c r="J87" s="8" t="s">
        <v>46</v>
      </c>
      <c r="K87" s="8" t="s">
        <v>31</v>
      </c>
      <c r="L87" s="10">
        <v>457</v>
      </c>
      <c r="M87" s="17" t="s">
        <v>72</v>
      </c>
      <c r="N87" s="6">
        <v>2020</v>
      </c>
    </row>
    <row r="88" spans="1:14" x14ac:dyDescent="0.25">
      <c r="A88" s="6">
        <v>87</v>
      </c>
      <c r="B88" s="7">
        <v>43972</v>
      </c>
      <c r="C88" s="8" t="s">
        <v>56</v>
      </c>
      <c r="D88" s="8" t="s">
        <v>14</v>
      </c>
      <c r="E88" s="9" t="s">
        <v>42</v>
      </c>
      <c r="F88" s="8" t="s">
        <v>35</v>
      </c>
      <c r="G88" s="8">
        <v>0</v>
      </c>
      <c r="H88" s="8" t="s">
        <v>60</v>
      </c>
      <c r="I88" s="8" t="s">
        <v>18</v>
      </c>
      <c r="J88" s="8" t="s">
        <v>19</v>
      </c>
      <c r="K88" s="8" t="s">
        <v>40</v>
      </c>
      <c r="L88" s="10">
        <v>0</v>
      </c>
      <c r="M88" s="17" t="s">
        <v>72</v>
      </c>
      <c r="N88" s="6">
        <v>2020</v>
      </c>
    </row>
    <row r="89" spans="1:14" x14ac:dyDescent="0.25">
      <c r="A89" s="6">
        <v>88</v>
      </c>
      <c r="B89" s="7">
        <v>43973</v>
      </c>
      <c r="C89" s="8" t="s">
        <v>65</v>
      </c>
      <c r="D89" s="8" t="s">
        <v>14</v>
      </c>
      <c r="E89" s="9" t="s">
        <v>15</v>
      </c>
      <c r="F89" s="8" t="s">
        <v>35</v>
      </c>
      <c r="G89" s="8">
        <v>0</v>
      </c>
      <c r="H89" s="8" t="s">
        <v>37</v>
      </c>
      <c r="I89" s="8" t="s">
        <v>39</v>
      </c>
      <c r="J89" s="8" t="s">
        <v>26</v>
      </c>
      <c r="K89" s="8" t="s">
        <v>59</v>
      </c>
      <c r="L89" s="10">
        <v>305</v>
      </c>
      <c r="M89" s="17" t="s">
        <v>72</v>
      </c>
      <c r="N89" s="6">
        <v>2020</v>
      </c>
    </row>
    <row r="90" spans="1:14" x14ac:dyDescent="0.25">
      <c r="A90" s="6">
        <v>89</v>
      </c>
      <c r="B90" s="7">
        <v>43974</v>
      </c>
      <c r="C90" s="8" t="s">
        <v>41</v>
      </c>
      <c r="D90" s="8" t="s">
        <v>14</v>
      </c>
      <c r="E90" s="9" t="s">
        <v>47</v>
      </c>
      <c r="F90" s="8" t="s">
        <v>36</v>
      </c>
      <c r="G90" s="8">
        <v>0</v>
      </c>
      <c r="H90" s="8" t="s">
        <v>57</v>
      </c>
      <c r="I90" s="8" t="s">
        <v>18</v>
      </c>
      <c r="J90" s="8" t="s">
        <v>19</v>
      </c>
      <c r="K90" s="8" t="s">
        <v>31</v>
      </c>
      <c r="L90" s="10">
        <v>0</v>
      </c>
      <c r="M90" s="17" t="s">
        <v>72</v>
      </c>
      <c r="N90" s="6">
        <v>2020</v>
      </c>
    </row>
    <row r="91" spans="1:14" x14ac:dyDescent="0.25">
      <c r="A91" s="6">
        <v>90</v>
      </c>
      <c r="B91" s="7">
        <v>43976</v>
      </c>
      <c r="C91" s="8" t="s">
        <v>61</v>
      </c>
      <c r="D91" s="8" t="s">
        <v>14</v>
      </c>
      <c r="E91" s="9" t="s">
        <v>22</v>
      </c>
      <c r="F91" s="8" t="s">
        <v>38</v>
      </c>
      <c r="G91" s="8">
        <v>0.5</v>
      </c>
      <c r="H91" s="8" t="s">
        <v>49</v>
      </c>
      <c r="I91" s="8" t="s">
        <v>25</v>
      </c>
      <c r="J91" s="8" t="s">
        <v>19</v>
      </c>
      <c r="K91" s="8" t="s">
        <v>43</v>
      </c>
      <c r="L91" s="10">
        <v>2468</v>
      </c>
      <c r="M91" s="17" t="s">
        <v>72</v>
      </c>
      <c r="N91" s="6">
        <v>2020</v>
      </c>
    </row>
    <row r="92" spans="1:14" x14ac:dyDescent="0.25">
      <c r="A92" s="6">
        <v>91</v>
      </c>
      <c r="B92" s="7">
        <v>43977</v>
      </c>
      <c r="C92" s="8" t="s">
        <v>51</v>
      </c>
      <c r="D92" s="8" t="s">
        <v>14</v>
      </c>
      <c r="E92" s="9" t="s">
        <v>22</v>
      </c>
      <c r="F92" s="8" t="s">
        <v>16</v>
      </c>
      <c r="G92" s="8">
        <v>0.5</v>
      </c>
      <c r="H92" s="8" t="s">
        <v>45</v>
      </c>
      <c r="I92" s="8" t="s">
        <v>25</v>
      </c>
      <c r="J92" s="8" t="s">
        <v>19</v>
      </c>
      <c r="K92" s="8" t="s">
        <v>54</v>
      </c>
      <c r="L92" s="10">
        <v>786</v>
      </c>
      <c r="M92" s="17" t="s">
        <v>72</v>
      </c>
      <c r="N92" s="6">
        <v>2020</v>
      </c>
    </row>
    <row r="93" spans="1:14" x14ac:dyDescent="0.25">
      <c r="A93" s="6">
        <v>92</v>
      </c>
      <c r="B93" s="7">
        <v>43977</v>
      </c>
      <c r="C93" s="8" t="s">
        <v>28</v>
      </c>
      <c r="D93" s="8" t="s">
        <v>14</v>
      </c>
      <c r="E93" s="9" t="s">
        <v>15</v>
      </c>
      <c r="F93" s="8" t="s">
        <v>36</v>
      </c>
      <c r="G93" s="8">
        <v>0</v>
      </c>
      <c r="H93" s="8" t="s">
        <v>24</v>
      </c>
      <c r="I93" s="8" t="s">
        <v>53</v>
      </c>
      <c r="J93" s="8" t="s">
        <v>26</v>
      </c>
      <c r="K93" s="8" t="s">
        <v>31</v>
      </c>
      <c r="L93" s="10">
        <v>2481</v>
      </c>
      <c r="M93" s="17" t="s">
        <v>72</v>
      </c>
      <c r="N93" s="6">
        <v>2020</v>
      </c>
    </row>
    <row r="94" spans="1:14" x14ac:dyDescent="0.25">
      <c r="A94" s="6">
        <v>93</v>
      </c>
      <c r="B94" s="7">
        <v>43980</v>
      </c>
      <c r="C94" s="8" t="s">
        <v>51</v>
      </c>
      <c r="D94" s="8" t="s">
        <v>14</v>
      </c>
      <c r="E94" s="9" t="s">
        <v>15</v>
      </c>
      <c r="F94" s="8" t="s">
        <v>16</v>
      </c>
      <c r="G94" s="8">
        <v>0.5</v>
      </c>
      <c r="H94" s="8" t="s">
        <v>45</v>
      </c>
      <c r="I94" s="8" t="s">
        <v>25</v>
      </c>
      <c r="J94" s="8" t="s">
        <v>26</v>
      </c>
      <c r="K94" s="8" t="s">
        <v>52</v>
      </c>
      <c r="L94" s="10">
        <v>674</v>
      </c>
      <c r="M94" s="17" t="s">
        <v>72</v>
      </c>
      <c r="N94" s="6">
        <v>2020</v>
      </c>
    </row>
    <row r="95" spans="1:14" x14ac:dyDescent="0.25">
      <c r="A95" s="6">
        <v>94</v>
      </c>
      <c r="B95" s="7">
        <v>43982</v>
      </c>
      <c r="C95" s="8" t="s">
        <v>61</v>
      </c>
      <c r="D95" s="8" t="s">
        <v>14</v>
      </c>
      <c r="E95" s="9" t="s">
        <v>22</v>
      </c>
      <c r="F95" s="8" t="s">
        <v>38</v>
      </c>
      <c r="G95" s="8">
        <v>0</v>
      </c>
      <c r="H95" s="8" t="s">
        <v>24</v>
      </c>
      <c r="I95" s="8" t="s">
        <v>18</v>
      </c>
      <c r="J95" s="8" t="s">
        <v>46</v>
      </c>
      <c r="K95" s="8" t="s">
        <v>43</v>
      </c>
      <c r="L95" s="10">
        <v>0</v>
      </c>
      <c r="M95" s="17" t="s">
        <v>72</v>
      </c>
      <c r="N95" s="6">
        <v>2020</v>
      </c>
    </row>
    <row r="96" spans="1:14" x14ac:dyDescent="0.25">
      <c r="A96" s="6">
        <v>95</v>
      </c>
      <c r="B96" s="7">
        <v>43982</v>
      </c>
      <c r="C96" s="8" t="s">
        <v>32</v>
      </c>
      <c r="D96" s="8" t="s">
        <v>14</v>
      </c>
      <c r="E96" s="9" t="s">
        <v>34</v>
      </c>
      <c r="F96" s="8" t="s">
        <v>36</v>
      </c>
      <c r="G96" s="8">
        <v>0</v>
      </c>
      <c r="H96" s="8" t="s">
        <v>24</v>
      </c>
      <c r="I96" s="8" t="s">
        <v>18</v>
      </c>
      <c r="J96" s="8" t="s">
        <v>19</v>
      </c>
      <c r="K96" s="8" t="s">
        <v>52</v>
      </c>
      <c r="L96" s="10">
        <v>0</v>
      </c>
      <c r="M96" s="17" t="s">
        <v>72</v>
      </c>
      <c r="N96" s="6">
        <v>2020</v>
      </c>
    </row>
    <row r="97" spans="1:14" x14ac:dyDescent="0.25">
      <c r="A97" s="6">
        <v>96</v>
      </c>
      <c r="B97" s="7">
        <v>43984</v>
      </c>
      <c r="C97" s="8" t="s">
        <v>44</v>
      </c>
      <c r="D97" s="8" t="s">
        <v>14</v>
      </c>
      <c r="E97" s="9" t="s">
        <v>34</v>
      </c>
      <c r="F97" s="8" t="s">
        <v>63</v>
      </c>
      <c r="G97" s="8">
        <v>0</v>
      </c>
      <c r="H97" s="8" t="s">
        <v>30</v>
      </c>
      <c r="I97" s="8" t="s">
        <v>18</v>
      </c>
      <c r="J97" s="8" t="s">
        <v>19</v>
      </c>
      <c r="K97" s="8" t="s">
        <v>52</v>
      </c>
      <c r="L97" s="10">
        <v>0</v>
      </c>
      <c r="M97" s="17" t="s">
        <v>73</v>
      </c>
      <c r="N97" s="6">
        <v>2020</v>
      </c>
    </row>
    <row r="98" spans="1:14" x14ac:dyDescent="0.25">
      <c r="A98" s="6">
        <v>97</v>
      </c>
      <c r="B98" s="7">
        <v>43989</v>
      </c>
      <c r="C98" s="8" t="s">
        <v>32</v>
      </c>
      <c r="D98" s="8" t="s">
        <v>14</v>
      </c>
      <c r="E98" s="9" t="s">
        <v>15</v>
      </c>
      <c r="F98" s="8" t="s">
        <v>62</v>
      </c>
      <c r="G98" s="8">
        <v>0</v>
      </c>
      <c r="H98" s="8" t="s">
        <v>30</v>
      </c>
      <c r="I98" s="8" t="s">
        <v>18</v>
      </c>
      <c r="J98" s="8" t="s">
        <v>46</v>
      </c>
      <c r="K98" s="8" t="s">
        <v>52</v>
      </c>
      <c r="L98" s="10">
        <v>0</v>
      </c>
      <c r="M98" s="17" t="s">
        <v>73</v>
      </c>
      <c r="N98" s="6">
        <v>2020</v>
      </c>
    </row>
    <row r="99" spans="1:14" x14ac:dyDescent="0.25">
      <c r="A99" s="6">
        <v>98</v>
      </c>
      <c r="B99" s="7">
        <v>43992</v>
      </c>
      <c r="C99" s="8" t="s">
        <v>56</v>
      </c>
      <c r="D99" s="8" t="s">
        <v>14</v>
      </c>
      <c r="E99" s="9" t="s">
        <v>15</v>
      </c>
      <c r="F99" s="8" t="s">
        <v>62</v>
      </c>
      <c r="G99" s="8">
        <v>2.5</v>
      </c>
      <c r="H99" s="8" t="s">
        <v>37</v>
      </c>
      <c r="I99" s="8" t="s">
        <v>25</v>
      </c>
      <c r="J99" s="8" t="s">
        <v>46</v>
      </c>
      <c r="K99" s="8" t="s">
        <v>52</v>
      </c>
      <c r="L99" s="10">
        <v>2370</v>
      </c>
      <c r="M99" s="17" t="s">
        <v>73</v>
      </c>
      <c r="N99" s="6">
        <v>2020</v>
      </c>
    </row>
    <row r="100" spans="1:14" x14ac:dyDescent="0.25">
      <c r="A100" s="6">
        <v>99</v>
      </c>
      <c r="B100" s="7">
        <v>43993</v>
      </c>
      <c r="C100" s="8" t="s">
        <v>58</v>
      </c>
      <c r="D100" s="8" t="s">
        <v>14</v>
      </c>
      <c r="E100" s="9" t="s">
        <v>47</v>
      </c>
      <c r="F100" s="8" t="s">
        <v>35</v>
      </c>
      <c r="G100" s="8">
        <v>0</v>
      </c>
      <c r="H100" s="8" t="s">
        <v>45</v>
      </c>
      <c r="I100" s="8" t="s">
        <v>53</v>
      </c>
      <c r="J100" s="8" t="s">
        <v>46</v>
      </c>
      <c r="K100" s="8" t="s">
        <v>43</v>
      </c>
      <c r="L100" s="10">
        <v>1121</v>
      </c>
      <c r="M100" s="17" t="s">
        <v>73</v>
      </c>
      <c r="N100" s="6">
        <v>2020</v>
      </c>
    </row>
    <row r="101" spans="1:14" x14ac:dyDescent="0.25">
      <c r="A101" s="6">
        <v>100</v>
      </c>
      <c r="B101" s="7">
        <v>43994</v>
      </c>
      <c r="C101" s="8" t="s">
        <v>28</v>
      </c>
      <c r="D101" s="8" t="s">
        <v>14</v>
      </c>
      <c r="E101" s="9" t="s">
        <v>15</v>
      </c>
      <c r="F101" s="8" t="s">
        <v>63</v>
      </c>
      <c r="G101" s="8">
        <v>0</v>
      </c>
      <c r="H101" s="8" t="s">
        <v>45</v>
      </c>
      <c r="I101" s="8" t="s">
        <v>53</v>
      </c>
      <c r="J101" s="8" t="s">
        <v>26</v>
      </c>
      <c r="K101" s="8" t="s">
        <v>50</v>
      </c>
      <c r="L101" s="10">
        <v>3269</v>
      </c>
      <c r="M101" s="17" t="s">
        <v>73</v>
      </c>
      <c r="N101" s="6">
        <v>2020</v>
      </c>
    </row>
    <row r="102" spans="1:14" x14ac:dyDescent="0.25">
      <c r="A102" s="6">
        <v>101</v>
      </c>
      <c r="B102" s="7">
        <v>43997</v>
      </c>
      <c r="C102" s="8" t="s">
        <v>32</v>
      </c>
      <c r="D102" s="8" t="s">
        <v>14</v>
      </c>
      <c r="E102" s="9" t="s">
        <v>47</v>
      </c>
      <c r="F102" s="8" t="s">
        <v>36</v>
      </c>
      <c r="G102" s="8">
        <v>0</v>
      </c>
      <c r="H102" s="8" t="s">
        <v>60</v>
      </c>
      <c r="I102" s="8" t="s">
        <v>39</v>
      </c>
      <c r="J102" s="8" t="s">
        <v>26</v>
      </c>
      <c r="K102" s="8" t="s">
        <v>20</v>
      </c>
      <c r="L102" s="10">
        <v>249</v>
      </c>
      <c r="M102" s="17" t="s">
        <v>73</v>
      </c>
      <c r="N102" s="6">
        <v>2020</v>
      </c>
    </row>
    <row r="103" spans="1:14" x14ac:dyDescent="0.25">
      <c r="A103" s="6">
        <v>102</v>
      </c>
      <c r="B103" s="7">
        <v>43997</v>
      </c>
      <c r="C103" s="8" t="s">
        <v>13</v>
      </c>
      <c r="D103" s="8" t="s">
        <v>14</v>
      </c>
      <c r="E103" s="9" t="s">
        <v>22</v>
      </c>
      <c r="F103" s="8" t="s">
        <v>16</v>
      </c>
      <c r="G103" s="8">
        <v>0</v>
      </c>
      <c r="H103" s="8" t="s">
        <v>60</v>
      </c>
      <c r="I103" s="8" t="s">
        <v>39</v>
      </c>
      <c r="J103" s="8" t="s">
        <v>46</v>
      </c>
      <c r="K103" s="8" t="s">
        <v>52</v>
      </c>
      <c r="L103" s="10">
        <v>423</v>
      </c>
      <c r="M103" s="17" t="s">
        <v>73</v>
      </c>
      <c r="N103" s="6">
        <v>2020</v>
      </c>
    </row>
    <row r="104" spans="1:14" x14ac:dyDescent="0.25">
      <c r="A104" s="6">
        <v>103</v>
      </c>
      <c r="B104" s="7">
        <v>43998</v>
      </c>
      <c r="C104" s="8" t="s">
        <v>44</v>
      </c>
      <c r="D104" s="8" t="s">
        <v>14</v>
      </c>
      <c r="E104" s="9" t="s">
        <v>15</v>
      </c>
      <c r="F104" s="8" t="s">
        <v>35</v>
      </c>
      <c r="G104" s="8">
        <v>0</v>
      </c>
      <c r="H104" s="8" t="s">
        <v>30</v>
      </c>
      <c r="I104" s="8" t="s">
        <v>53</v>
      </c>
      <c r="J104" s="8" t="s">
        <v>26</v>
      </c>
      <c r="K104" s="8" t="s">
        <v>50</v>
      </c>
      <c r="L104" s="10">
        <v>3397</v>
      </c>
      <c r="M104" s="17" t="s">
        <v>73</v>
      </c>
      <c r="N104" s="6">
        <v>2020</v>
      </c>
    </row>
    <row r="105" spans="1:14" x14ac:dyDescent="0.25">
      <c r="A105" s="6">
        <v>104</v>
      </c>
      <c r="B105" s="7">
        <v>44001</v>
      </c>
      <c r="C105" s="8" t="s">
        <v>61</v>
      </c>
      <c r="D105" s="8" t="s">
        <v>33</v>
      </c>
      <c r="E105" s="9" t="s">
        <v>15</v>
      </c>
      <c r="F105" s="8" t="s">
        <v>35</v>
      </c>
      <c r="G105" s="8">
        <v>0</v>
      </c>
      <c r="H105" s="8" t="s">
        <v>45</v>
      </c>
      <c r="I105" s="8" t="s">
        <v>53</v>
      </c>
      <c r="J105" s="8" t="s">
        <v>26</v>
      </c>
      <c r="K105" s="8" t="s">
        <v>27</v>
      </c>
      <c r="L105" s="10">
        <v>4016</v>
      </c>
      <c r="M105" s="17" t="s">
        <v>73</v>
      </c>
      <c r="N105" s="6">
        <v>2020</v>
      </c>
    </row>
    <row r="106" spans="1:14" x14ac:dyDescent="0.25">
      <c r="A106" s="6">
        <v>105</v>
      </c>
      <c r="B106" s="7">
        <v>44005</v>
      </c>
      <c r="C106" s="8" t="s">
        <v>58</v>
      </c>
      <c r="D106" s="8" t="s">
        <v>14</v>
      </c>
      <c r="E106" s="9" t="s">
        <v>34</v>
      </c>
      <c r="F106" s="8" t="s">
        <v>63</v>
      </c>
      <c r="G106" s="8">
        <v>0</v>
      </c>
      <c r="H106" s="8" t="s">
        <v>57</v>
      </c>
      <c r="I106" s="8" t="s">
        <v>53</v>
      </c>
      <c r="J106" s="8" t="s">
        <v>19</v>
      </c>
      <c r="K106" s="8" t="s">
        <v>50</v>
      </c>
      <c r="L106" s="10">
        <v>2387</v>
      </c>
      <c r="M106" s="17" t="s">
        <v>73</v>
      </c>
      <c r="N106" s="6">
        <v>2020</v>
      </c>
    </row>
    <row r="107" spans="1:14" x14ac:dyDescent="0.25">
      <c r="A107" s="6">
        <v>106</v>
      </c>
      <c r="B107" s="7">
        <v>44008</v>
      </c>
      <c r="C107" s="8" t="s">
        <v>32</v>
      </c>
      <c r="D107" s="8" t="s">
        <v>14</v>
      </c>
      <c r="E107" s="9" t="s">
        <v>34</v>
      </c>
      <c r="F107" s="8" t="s">
        <v>38</v>
      </c>
      <c r="G107" s="8">
        <v>0</v>
      </c>
      <c r="H107" s="8" t="s">
        <v>17</v>
      </c>
      <c r="I107" s="8" t="s">
        <v>18</v>
      </c>
      <c r="J107" s="8" t="s">
        <v>19</v>
      </c>
      <c r="K107" s="8" t="s">
        <v>31</v>
      </c>
      <c r="L107" s="10">
        <v>0</v>
      </c>
      <c r="M107" s="17" t="s">
        <v>73</v>
      </c>
      <c r="N107" s="6">
        <v>2020</v>
      </c>
    </row>
    <row r="108" spans="1:14" x14ac:dyDescent="0.25">
      <c r="A108" s="6">
        <v>107</v>
      </c>
      <c r="B108" s="7">
        <v>44009</v>
      </c>
      <c r="C108" s="8" t="s">
        <v>56</v>
      </c>
      <c r="D108" s="8" t="s">
        <v>14</v>
      </c>
      <c r="E108" s="9" t="s">
        <v>47</v>
      </c>
      <c r="F108" s="8" t="s">
        <v>63</v>
      </c>
      <c r="G108" s="8">
        <v>0</v>
      </c>
      <c r="H108" s="8" t="s">
        <v>57</v>
      </c>
      <c r="I108" s="8" t="s">
        <v>53</v>
      </c>
      <c r="J108" s="8" t="s">
        <v>19</v>
      </c>
      <c r="K108" s="8" t="s">
        <v>52</v>
      </c>
      <c r="L108" s="10">
        <v>4292</v>
      </c>
      <c r="M108" s="17" t="s">
        <v>73</v>
      </c>
      <c r="N108" s="6">
        <v>2020</v>
      </c>
    </row>
    <row r="109" spans="1:14" x14ac:dyDescent="0.25">
      <c r="A109" s="6">
        <v>108</v>
      </c>
      <c r="B109" s="7">
        <v>44010</v>
      </c>
      <c r="C109" s="8" t="s">
        <v>44</v>
      </c>
      <c r="D109" s="8" t="s">
        <v>33</v>
      </c>
      <c r="E109" s="9" t="s">
        <v>47</v>
      </c>
      <c r="F109" s="8" t="s">
        <v>62</v>
      </c>
      <c r="G109" s="8">
        <v>2</v>
      </c>
      <c r="H109" s="8" t="s">
        <v>24</v>
      </c>
      <c r="I109" s="8" t="s">
        <v>25</v>
      </c>
      <c r="J109" s="8" t="s">
        <v>26</v>
      </c>
      <c r="K109" s="8" t="s">
        <v>59</v>
      </c>
      <c r="L109" s="10">
        <v>1635</v>
      </c>
      <c r="M109" s="17" t="s">
        <v>73</v>
      </c>
      <c r="N109" s="6">
        <v>2020</v>
      </c>
    </row>
    <row r="110" spans="1:14" x14ac:dyDescent="0.25">
      <c r="A110" s="6">
        <v>109</v>
      </c>
      <c r="B110" s="7">
        <v>44012</v>
      </c>
      <c r="C110" s="8" t="s">
        <v>65</v>
      </c>
      <c r="D110" s="8" t="s">
        <v>14</v>
      </c>
      <c r="E110" s="9" t="s">
        <v>15</v>
      </c>
      <c r="F110" s="8" t="s">
        <v>38</v>
      </c>
      <c r="G110" s="8">
        <v>0</v>
      </c>
      <c r="H110" s="8" t="s">
        <v>49</v>
      </c>
      <c r="I110" s="8" t="s">
        <v>18</v>
      </c>
      <c r="J110" s="8" t="s">
        <v>46</v>
      </c>
      <c r="K110" s="8" t="s">
        <v>40</v>
      </c>
      <c r="L110" s="10">
        <v>0</v>
      </c>
      <c r="M110" s="17" t="s">
        <v>73</v>
      </c>
      <c r="N110" s="6">
        <v>2020</v>
      </c>
    </row>
    <row r="111" spans="1:14" x14ac:dyDescent="0.25">
      <c r="A111" s="6">
        <v>110</v>
      </c>
      <c r="B111" s="7">
        <v>44012</v>
      </c>
      <c r="C111" s="8" t="s">
        <v>41</v>
      </c>
      <c r="D111" s="8" t="s">
        <v>14</v>
      </c>
      <c r="E111" s="9" t="s">
        <v>34</v>
      </c>
      <c r="F111" s="8" t="s">
        <v>63</v>
      </c>
      <c r="G111" s="8">
        <v>5</v>
      </c>
      <c r="H111" s="8" t="s">
        <v>24</v>
      </c>
      <c r="I111" s="8" t="s">
        <v>25</v>
      </c>
      <c r="J111" s="8" t="s">
        <v>26</v>
      </c>
      <c r="K111" s="8" t="s">
        <v>40</v>
      </c>
      <c r="L111" s="10">
        <v>603</v>
      </c>
      <c r="M111" s="17" t="s">
        <v>73</v>
      </c>
      <c r="N111" s="6">
        <v>2020</v>
      </c>
    </row>
    <row r="112" spans="1:14" x14ac:dyDescent="0.25">
      <c r="A112" s="6">
        <v>111</v>
      </c>
      <c r="B112" s="7">
        <v>44013</v>
      </c>
      <c r="C112" s="8" t="s">
        <v>41</v>
      </c>
      <c r="D112" s="8" t="s">
        <v>14</v>
      </c>
      <c r="E112" s="9" t="s">
        <v>34</v>
      </c>
      <c r="F112" s="8" t="s">
        <v>36</v>
      </c>
      <c r="G112" s="8">
        <v>0</v>
      </c>
      <c r="H112" s="8" t="s">
        <v>24</v>
      </c>
      <c r="I112" s="8" t="s">
        <v>53</v>
      </c>
      <c r="J112" s="8" t="s">
        <v>19</v>
      </c>
      <c r="K112" s="8" t="s">
        <v>54</v>
      </c>
      <c r="L112" s="10">
        <v>1335</v>
      </c>
      <c r="M112" s="17" t="s">
        <v>74</v>
      </c>
      <c r="N112" s="6">
        <v>2020</v>
      </c>
    </row>
    <row r="113" spans="1:14" x14ac:dyDescent="0.25">
      <c r="A113" s="6">
        <v>112</v>
      </c>
      <c r="B113" s="7">
        <v>44018</v>
      </c>
      <c r="C113" s="8" t="s">
        <v>21</v>
      </c>
      <c r="D113" s="8" t="s">
        <v>33</v>
      </c>
      <c r="E113" s="9" t="s">
        <v>34</v>
      </c>
      <c r="F113" s="8" t="s">
        <v>62</v>
      </c>
      <c r="G113" s="8">
        <v>0</v>
      </c>
      <c r="H113" s="8" t="s">
        <v>37</v>
      </c>
      <c r="I113" s="8" t="s">
        <v>39</v>
      </c>
      <c r="J113" s="8" t="s">
        <v>26</v>
      </c>
      <c r="K113" s="8" t="s">
        <v>59</v>
      </c>
      <c r="L113" s="10">
        <v>250</v>
      </c>
      <c r="M113" s="17" t="s">
        <v>74</v>
      </c>
      <c r="N113" s="6">
        <v>2020</v>
      </c>
    </row>
    <row r="114" spans="1:14" x14ac:dyDescent="0.25">
      <c r="A114" s="6">
        <v>113</v>
      </c>
      <c r="B114" s="7">
        <v>44018</v>
      </c>
      <c r="C114" s="8" t="s">
        <v>41</v>
      </c>
      <c r="D114" s="8" t="s">
        <v>14</v>
      </c>
      <c r="E114" s="9" t="s">
        <v>34</v>
      </c>
      <c r="F114" s="8" t="s">
        <v>16</v>
      </c>
      <c r="G114" s="8">
        <v>2</v>
      </c>
      <c r="H114" s="8" t="s">
        <v>60</v>
      </c>
      <c r="I114" s="8" t="s">
        <v>25</v>
      </c>
      <c r="J114" s="8" t="s">
        <v>26</v>
      </c>
      <c r="K114" s="8" t="s">
        <v>40</v>
      </c>
      <c r="L114" s="10">
        <v>3203</v>
      </c>
      <c r="M114" s="17" t="s">
        <v>74</v>
      </c>
      <c r="N114" s="6">
        <v>2020</v>
      </c>
    </row>
    <row r="115" spans="1:14" x14ac:dyDescent="0.25">
      <c r="A115" s="6">
        <v>114</v>
      </c>
      <c r="B115" s="7">
        <v>44019</v>
      </c>
      <c r="C115" s="8" t="s">
        <v>56</v>
      </c>
      <c r="D115" s="8" t="s">
        <v>14</v>
      </c>
      <c r="E115" s="9" t="s">
        <v>22</v>
      </c>
      <c r="F115" s="8" t="s">
        <v>63</v>
      </c>
      <c r="G115" s="8">
        <v>0</v>
      </c>
      <c r="H115" s="8" t="s">
        <v>60</v>
      </c>
      <c r="I115" s="8" t="s">
        <v>53</v>
      </c>
      <c r="J115" s="8" t="s">
        <v>26</v>
      </c>
      <c r="K115" s="8" t="s">
        <v>50</v>
      </c>
      <c r="L115" s="10">
        <v>4246</v>
      </c>
      <c r="M115" s="17" t="s">
        <v>74</v>
      </c>
      <c r="N115" s="6">
        <v>2020</v>
      </c>
    </row>
    <row r="116" spans="1:14" x14ac:dyDescent="0.25">
      <c r="A116" s="6">
        <v>115</v>
      </c>
      <c r="B116" s="7">
        <v>44022</v>
      </c>
      <c r="C116" s="8" t="s">
        <v>64</v>
      </c>
      <c r="D116" s="8" t="s">
        <v>14</v>
      </c>
      <c r="E116" s="9" t="s">
        <v>47</v>
      </c>
      <c r="F116" s="8" t="s">
        <v>38</v>
      </c>
      <c r="G116" s="8">
        <v>0</v>
      </c>
      <c r="H116" s="8" t="s">
        <v>49</v>
      </c>
      <c r="I116" s="8" t="s">
        <v>53</v>
      </c>
      <c r="J116" s="8" t="s">
        <v>19</v>
      </c>
      <c r="K116" s="8" t="s">
        <v>59</v>
      </c>
      <c r="L116" s="10">
        <v>4229</v>
      </c>
      <c r="M116" s="17" t="s">
        <v>74</v>
      </c>
      <c r="N116" s="6">
        <v>2020</v>
      </c>
    </row>
    <row r="117" spans="1:14" x14ac:dyDescent="0.25">
      <c r="A117" s="6">
        <v>116</v>
      </c>
      <c r="B117" s="7">
        <v>44023</v>
      </c>
      <c r="C117" s="8" t="s">
        <v>51</v>
      </c>
      <c r="D117" s="8" t="s">
        <v>14</v>
      </c>
      <c r="E117" s="9" t="s">
        <v>15</v>
      </c>
      <c r="F117" s="8" t="s">
        <v>35</v>
      </c>
      <c r="G117" s="8">
        <v>1</v>
      </c>
      <c r="H117" s="8" t="s">
        <v>24</v>
      </c>
      <c r="I117" s="8" t="s">
        <v>25</v>
      </c>
      <c r="J117" s="8" t="s">
        <v>46</v>
      </c>
      <c r="K117" s="8" t="s">
        <v>31</v>
      </c>
      <c r="L117" s="10">
        <v>3256</v>
      </c>
      <c r="M117" s="17" t="s">
        <v>74</v>
      </c>
      <c r="N117" s="6">
        <v>2020</v>
      </c>
    </row>
    <row r="118" spans="1:14" x14ac:dyDescent="0.25">
      <c r="A118" s="6">
        <v>117</v>
      </c>
      <c r="B118" s="7">
        <v>44024</v>
      </c>
      <c r="C118" s="8" t="s">
        <v>65</v>
      </c>
      <c r="D118" s="8" t="s">
        <v>14</v>
      </c>
      <c r="E118" s="9" t="s">
        <v>22</v>
      </c>
      <c r="F118" s="8" t="s">
        <v>29</v>
      </c>
      <c r="G118" s="8">
        <v>4</v>
      </c>
      <c r="H118" s="8" t="s">
        <v>17</v>
      </c>
      <c r="I118" s="8" t="s">
        <v>25</v>
      </c>
      <c r="J118" s="8" t="s">
        <v>46</v>
      </c>
      <c r="K118" s="8" t="s">
        <v>54</v>
      </c>
      <c r="L118" s="10">
        <v>2861</v>
      </c>
      <c r="M118" s="17" t="s">
        <v>74</v>
      </c>
      <c r="N118" s="6">
        <v>2020</v>
      </c>
    </row>
    <row r="119" spans="1:14" x14ac:dyDescent="0.25">
      <c r="A119" s="6">
        <v>118</v>
      </c>
      <c r="B119" s="7">
        <v>44024</v>
      </c>
      <c r="C119" s="8" t="s">
        <v>28</v>
      </c>
      <c r="D119" s="8" t="s">
        <v>14</v>
      </c>
      <c r="E119" s="9" t="s">
        <v>34</v>
      </c>
      <c r="F119" s="8" t="s">
        <v>63</v>
      </c>
      <c r="G119" s="8">
        <v>0</v>
      </c>
      <c r="H119" s="8" t="s">
        <v>57</v>
      </c>
      <c r="I119" s="8" t="s">
        <v>39</v>
      </c>
      <c r="J119" s="8" t="s">
        <v>46</v>
      </c>
      <c r="K119" s="8" t="s">
        <v>59</v>
      </c>
      <c r="L119" s="10">
        <v>118</v>
      </c>
      <c r="M119" s="17" t="s">
        <v>74</v>
      </c>
      <c r="N119" s="6">
        <v>2020</v>
      </c>
    </row>
    <row r="120" spans="1:14" x14ac:dyDescent="0.25">
      <c r="A120" s="6">
        <v>119</v>
      </c>
      <c r="B120" s="7">
        <v>44025</v>
      </c>
      <c r="C120" s="8" t="s">
        <v>21</v>
      </c>
      <c r="D120" s="8" t="s">
        <v>14</v>
      </c>
      <c r="E120" s="9" t="s">
        <v>47</v>
      </c>
      <c r="F120" s="8" t="s">
        <v>62</v>
      </c>
      <c r="G120" s="8">
        <v>3.5</v>
      </c>
      <c r="H120" s="8" t="s">
        <v>37</v>
      </c>
      <c r="I120" s="8" t="s">
        <v>25</v>
      </c>
      <c r="J120" s="8" t="s">
        <v>26</v>
      </c>
      <c r="K120" s="8" t="s">
        <v>50</v>
      </c>
      <c r="L120" s="10">
        <v>3716</v>
      </c>
      <c r="M120" s="17" t="s">
        <v>74</v>
      </c>
      <c r="N120" s="6">
        <v>2020</v>
      </c>
    </row>
    <row r="121" spans="1:14" x14ac:dyDescent="0.25">
      <c r="A121" s="6">
        <v>120</v>
      </c>
      <c r="B121" s="7">
        <v>44026</v>
      </c>
      <c r="C121" s="8" t="s">
        <v>64</v>
      </c>
      <c r="D121" s="8" t="s">
        <v>14</v>
      </c>
      <c r="E121" s="9" t="s">
        <v>15</v>
      </c>
      <c r="F121" s="8" t="s">
        <v>38</v>
      </c>
      <c r="G121" s="8">
        <v>0</v>
      </c>
      <c r="H121" s="8" t="s">
        <v>57</v>
      </c>
      <c r="I121" s="8" t="s">
        <v>18</v>
      </c>
      <c r="J121" s="8" t="s">
        <v>26</v>
      </c>
      <c r="K121" s="8" t="s">
        <v>54</v>
      </c>
      <c r="L121" s="10">
        <v>0</v>
      </c>
      <c r="M121" s="17" t="s">
        <v>74</v>
      </c>
      <c r="N121" s="6">
        <v>2020</v>
      </c>
    </row>
    <row r="122" spans="1:14" x14ac:dyDescent="0.25">
      <c r="A122" s="6">
        <v>121</v>
      </c>
      <c r="B122" s="7">
        <v>44028</v>
      </c>
      <c r="C122" s="8" t="s">
        <v>61</v>
      </c>
      <c r="D122" s="8" t="s">
        <v>14</v>
      </c>
      <c r="E122" s="9" t="s">
        <v>22</v>
      </c>
      <c r="F122" s="8" t="s">
        <v>36</v>
      </c>
      <c r="G122" s="8">
        <v>0</v>
      </c>
      <c r="H122" s="8" t="s">
        <v>24</v>
      </c>
      <c r="I122" s="8" t="s">
        <v>18</v>
      </c>
      <c r="J122" s="8" t="s">
        <v>46</v>
      </c>
      <c r="K122" s="8" t="s">
        <v>50</v>
      </c>
      <c r="L122" s="10">
        <v>0</v>
      </c>
      <c r="M122" s="17" t="s">
        <v>74</v>
      </c>
      <c r="N122" s="6">
        <v>2020</v>
      </c>
    </row>
    <row r="123" spans="1:14" x14ac:dyDescent="0.25">
      <c r="A123" s="6">
        <v>122</v>
      </c>
      <c r="B123" s="7">
        <v>44030</v>
      </c>
      <c r="C123" s="8" t="s">
        <v>44</v>
      </c>
      <c r="D123" s="8" t="s">
        <v>14</v>
      </c>
      <c r="E123" s="9" t="s">
        <v>47</v>
      </c>
      <c r="F123" s="8" t="s">
        <v>29</v>
      </c>
      <c r="G123" s="8">
        <v>0</v>
      </c>
      <c r="H123" s="8" t="s">
        <v>17</v>
      </c>
      <c r="I123" s="8" t="s">
        <v>53</v>
      </c>
      <c r="J123" s="8" t="s">
        <v>46</v>
      </c>
      <c r="K123" s="8" t="s">
        <v>50</v>
      </c>
      <c r="L123" s="10">
        <v>532</v>
      </c>
      <c r="M123" s="17" t="s">
        <v>74</v>
      </c>
      <c r="N123" s="6">
        <v>2020</v>
      </c>
    </row>
    <row r="124" spans="1:14" x14ac:dyDescent="0.25">
      <c r="A124" s="6">
        <v>123</v>
      </c>
      <c r="B124" s="7">
        <v>44031</v>
      </c>
      <c r="C124" s="8" t="s">
        <v>56</v>
      </c>
      <c r="D124" s="8" t="s">
        <v>14</v>
      </c>
      <c r="E124" s="9" t="s">
        <v>15</v>
      </c>
      <c r="F124" s="8" t="s">
        <v>62</v>
      </c>
      <c r="G124" s="8">
        <v>0</v>
      </c>
      <c r="H124" s="8" t="s">
        <v>24</v>
      </c>
      <c r="I124" s="8" t="s">
        <v>18</v>
      </c>
      <c r="J124" s="8" t="s">
        <v>46</v>
      </c>
      <c r="K124" s="8" t="s">
        <v>20</v>
      </c>
      <c r="L124" s="10">
        <v>0</v>
      </c>
      <c r="M124" s="17" t="s">
        <v>74</v>
      </c>
      <c r="N124" s="6">
        <v>2020</v>
      </c>
    </row>
    <row r="125" spans="1:14" x14ac:dyDescent="0.25">
      <c r="A125" s="6">
        <v>124</v>
      </c>
      <c r="B125" s="7">
        <v>44034</v>
      </c>
      <c r="C125" s="8" t="s">
        <v>65</v>
      </c>
      <c r="D125" s="8" t="s">
        <v>14</v>
      </c>
      <c r="E125" s="9" t="s">
        <v>15</v>
      </c>
      <c r="F125" s="8" t="s">
        <v>36</v>
      </c>
      <c r="G125" s="8">
        <v>0</v>
      </c>
      <c r="H125" s="8" t="s">
        <v>24</v>
      </c>
      <c r="I125" s="8" t="s">
        <v>18</v>
      </c>
      <c r="J125" s="8" t="s">
        <v>26</v>
      </c>
      <c r="K125" s="8" t="s">
        <v>27</v>
      </c>
      <c r="L125" s="10">
        <v>0</v>
      </c>
      <c r="M125" s="17" t="s">
        <v>74</v>
      </c>
      <c r="N125" s="6">
        <v>2020</v>
      </c>
    </row>
    <row r="126" spans="1:14" x14ac:dyDescent="0.25">
      <c r="A126" s="6">
        <v>125</v>
      </c>
      <c r="B126" s="7">
        <v>44038</v>
      </c>
      <c r="C126" s="8" t="s">
        <v>21</v>
      </c>
      <c r="D126" s="8" t="s">
        <v>14</v>
      </c>
      <c r="E126" s="9" t="s">
        <v>34</v>
      </c>
      <c r="F126" s="8" t="s">
        <v>62</v>
      </c>
      <c r="G126" s="8">
        <v>5</v>
      </c>
      <c r="H126" s="8" t="s">
        <v>55</v>
      </c>
      <c r="I126" s="8" t="s">
        <v>25</v>
      </c>
      <c r="J126" s="8" t="s">
        <v>46</v>
      </c>
      <c r="K126" s="8" t="s">
        <v>59</v>
      </c>
      <c r="L126" s="10">
        <v>4281</v>
      </c>
      <c r="M126" s="17" t="s">
        <v>74</v>
      </c>
      <c r="N126" s="6">
        <v>2020</v>
      </c>
    </row>
    <row r="127" spans="1:14" x14ac:dyDescent="0.25">
      <c r="A127" s="6">
        <v>126</v>
      </c>
      <c r="B127" s="7">
        <v>44039</v>
      </c>
      <c r="C127" s="8" t="s">
        <v>61</v>
      </c>
      <c r="D127" s="8" t="s">
        <v>14</v>
      </c>
      <c r="E127" s="9" t="s">
        <v>42</v>
      </c>
      <c r="F127" s="8" t="s">
        <v>16</v>
      </c>
      <c r="G127" s="8">
        <v>0</v>
      </c>
      <c r="H127" s="8" t="s">
        <v>57</v>
      </c>
      <c r="I127" s="8" t="s">
        <v>53</v>
      </c>
      <c r="J127" s="8" t="s">
        <v>26</v>
      </c>
      <c r="K127" s="8" t="s">
        <v>59</v>
      </c>
      <c r="L127" s="10">
        <v>4455</v>
      </c>
      <c r="M127" s="17" t="s">
        <v>74</v>
      </c>
      <c r="N127" s="6">
        <v>2020</v>
      </c>
    </row>
    <row r="128" spans="1:14" x14ac:dyDescent="0.25">
      <c r="A128" s="6">
        <v>127</v>
      </c>
      <c r="B128" s="7">
        <v>44040</v>
      </c>
      <c r="C128" s="8" t="s">
        <v>61</v>
      </c>
      <c r="D128" s="8" t="s">
        <v>14</v>
      </c>
      <c r="E128" s="9" t="s">
        <v>22</v>
      </c>
      <c r="F128" s="8" t="s">
        <v>62</v>
      </c>
      <c r="G128" s="8">
        <v>0</v>
      </c>
      <c r="H128" s="8" t="s">
        <v>45</v>
      </c>
      <c r="I128" s="8" t="s">
        <v>53</v>
      </c>
      <c r="J128" s="8" t="s">
        <v>46</v>
      </c>
      <c r="K128" s="8" t="s">
        <v>43</v>
      </c>
      <c r="L128" s="10">
        <v>4444</v>
      </c>
      <c r="M128" s="17" t="s">
        <v>74</v>
      </c>
      <c r="N128" s="6">
        <v>2020</v>
      </c>
    </row>
    <row r="129" spans="1:14" x14ac:dyDescent="0.25">
      <c r="A129" s="6">
        <v>128</v>
      </c>
      <c r="B129" s="7">
        <v>44040</v>
      </c>
      <c r="C129" s="8" t="s">
        <v>21</v>
      </c>
      <c r="D129" s="8" t="s">
        <v>14</v>
      </c>
      <c r="E129" s="9" t="s">
        <v>47</v>
      </c>
      <c r="F129" s="8" t="s">
        <v>62</v>
      </c>
      <c r="G129" s="8">
        <v>2</v>
      </c>
      <c r="H129" s="8" t="s">
        <v>45</v>
      </c>
      <c r="I129" s="8" t="s">
        <v>25</v>
      </c>
      <c r="J129" s="8" t="s">
        <v>46</v>
      </c>
      <c r="K129" s="8" t="s">
        <v>40</v>
      </c>
      <c r="L129" s="10">
        <v>2777</v>
      </c>
      <c r="M129" s="17" t="s">
        <v>74</v>
      </c>
      <c r="N129" s="6">
        <v>2020</v>
      </c>
    </row>
    <row r="130" spans="1:14" x14ac:dyDescent="0.25">
      <c r="A130" s="6">
        <v>129</v>
      </c>
      <c r="B130" s="7">
        <v>44042</v>
      </c>
      <c r="C130" s="8" t="s">
        <v>64</v>
      </c>
      <c r="D130" s="8" t="s">
        <v>14</v>
      </c>
      <c r="E130" s="9" t="s">
        <v>15</v>
      </c>
      <c r="F130" s="8" t="s">
        <v>36</v>
      </c>
      <c r="G130" s="8">
        <v>3</v>
      </c>
      <c r="H130" s="8" t="s">
        <v>60</v>
      </c>
      <c r="I130" s="8" t="s">
        <v>25</v>
      </c>
      <c r="J130" s="8" t="s">
        <v>46</v>
      </c>
      <c r="K130" s="8" t="s">
        <v>52</v>
      </c>
      <c r="L130" s="10">
        <v>4940</v>
      </c>
      <c r="M130" s="17" t="s">
        <v>74</v>
      </c>
      <c r="N130" s="6">
        <v>2020</v>
      </c>
    </row>
    <row r="131" spans="1:14" x14ac:dyDescent="0.25">
      <c r="A131" s="6">
        <v>130</v>
      </c>
      <c r="B131" s="7">
        <v>44042</v>
      </c>
      <c r="C131" s="8" t="s">
        <v>21</v>
      </c>
      <c r="D131" s="8" t="s">
        <v>33</v>
      </c>
      <c r="E131" s="9" t="s">
        <v>47</v>
      </c>
      <c r="F131" s="8" t="s">
        <v>35</v>
      </c>
      <c r="G131" s="8">
        <v>0</v>
      </c>
      <c r="H131" s="8" t="s">
        <v>37</v>
      </c>
      <c r="I131" s="8" t="s">
        <v>18</v>
      </c>
      <c r="J131" s="8" t="s">
        <v>46</v>
      </c>
      <c r="K131" s="8" t="s">
        <v>52</v>
      </c>
      <c r="L131" s="10">
        <v>0</v>
      </c>
      <c r="M131" s="17" t="s">
        <v>74</v>
      </c>
      <c r="N131" s="6">
        <v>2020</v>
      </c>
    </row>
    <row r="132" spans="1:14" x14ac:dyDescent="0.25">
      <c r="A132" s="6">
        <v>131</v>
      </c>
      <c r="B132" s="7">
        <v>44044</v>
      </c>
      <c r="C132" s="8" t="s">
        <v>41</v>
      </c>
      <c r="D132" s="8" t="s">
        <v>14</v>
      </c>
      <c r="E132" s="9" t="s">
        <v>47</v>
      </c>
      <c r="F132" s="8" t="s">
        <v>38</v>
      </c>
      <c r="G132" s="8">
        <v>0</v>
      </c>
      <c r="H132" s="8" t="s">
        <v>49</v>
      </c>
      <c r="I132" s="8" t="s">
        <v>18</v>
      </c>
      <c r="J132" s="8" t="s">
        <v>19</v>
      </c>
      <c r="K132" s="8" t="s">
        <v>31</v>
      </c>
      <c r="L132" s="10">
        <v>0</v>
      </c>
      <c r="M132" s="17" t="s">
        <v>75</v>
      </c>
      <c r="N132" s="6">
        <v>2020</v>
      </c>
    </row>
    <row r="133" spans="1:14" x14ac:dyDescent="0.25">
      <c r="A133" s="6">
        <v>132</v>
      </c>
      <c r="B133" s="7">
        <v>44046</v>
      </c>
      <c r="C133" s="8" t="s">
        <v>13</v>
      </c>
      <c r="D133" s="8" t="s">
        <v>14</v>
      </c>
      <c r="E133" s="9" t="s">
        <v>42</v>
      </c>
      <c r="F133" s="8" t="s">
        <v>63</v>
      </c>
      <c r="G133" s="8">
        <v>0</v>
      </c>
      <c r="H133" s="8" t="s">
        <v>60</v>
      </c>
      <c r="I133" s="8" t="s">
        <v>53</v>
      </c>
      <c r="J133" s="8" t="s">
        <v>26</v>
      </c>
      <c r="K133" s="8" t="s">
        <v>20</v>
      </c>
      <c r="L133" s="10">
        <v>2521</v>
      </c>
      <c r="M133" s="17" t="s">
        <v>75</v>
      </c>
      <c r="N133" s="6">
        <v>2020</v>
      </c>
    </row>
    <row r="134" spans="1:14" x14ac:dyDescent="0.25">
      <c r="A134" s="6">
        <v>133</v>
      </c>
      <c r="B134" s="7">
        <v>44047</v>
      </c>
      <c r="C134" s="8" t="s">
        <v>56</v>
      </c>
      <c r="D134" s="8" t="s">
        <v>14</v>
      </c>
      <c r="E134" s="9" t="s">
        <v>34</v>
      </c>
      <c r="F134" s="8" t="s">
        <v>35</v>
      </c>
      <c r="G134" s="8">
        <v>0</v>
      </c>
      <c r="H134" s="8" t="s">
        <v>30</v>
      </c>
      <c r="I134" s="8" t="s">
        <v>53</v>
      </c>
      <c r="J134" s="8" t="s">
        <v>26</v>
      </c>
      <c r="K134" s="8" t="s">
        <v>50</v>
      </c>
      <c r="L134" s="10">
        <v>1430</v>
      </c>
      <c r="M134" s="17" t="s">
        <v>75</v>
      </c>
      <c r="N134" s="6">
        <v>2020</v>
      </c>
    </row>
    <row r="135" spans="1:14" x14ac:dyDescent="0.25">
      <c r="A135" s="6">
        <v>134</v>
      </c>
      <c r="B135" s="7">
        <v>44050</v>
      </c>
      <c r="C135" s="8" t="s">
        <v>65</v>
      </c>
      <c r="D135" s="8" t="s">
        <v>14</v>
      </c>
      <c r="E135" s="9" t="s">
        <v>15</v>
      </c>
      <c r="F135" s="8" t="s">
        <v>62</v>
      </c>
      <c r="G135" s="8">
        <v>5</v>
      </c>
      <c r="H135" s="8" t="s">
        <v>17</v>
      </c>
      <c r="I135" s="8" t="s">
        <v>25</v>
      </c>
      <c r="J135" s="8" t="s">
        <v>19</v>
      </c>
      <c r="K135" s="8" t="s">
        <v>27</v>
      </c>
      <c r="L135" s="10">
        <v>1505</v>
      </c>
      <c r="M135" s="17" t="s">
        <v>75</v>
      </c>
      <c r="N135" s="6">
        <v>2020</v>
      </c>
    </row>
    <row r="136" spans="1:14" x14ac:dyDescent="0.25">
      <c r="A136" s="6">
        <v>135</v>
      </c>
      <c r="B136" s="7">
        <v>44052</v>
      </c>
      <c r="C136" s="8" t="s">
        <v>44</v>
      </c>
      <c r="D136" s="8" t="s">
        <v>14</v>
      </c>
      <c r="E136" s="9" t="s">
        <v>47</v>
      </c>
      <c r="F136" s="8" t="s">
        <v>16</v>
      </c>
      <c r="G136" s="8">
        <v>0</v>
      </c>
      <c r="H136" s="8" t="s">
        <v>24</v>
      </c>
      <c r="I136" s="8" t="s">
        <v>53</v>
      </c>
      <c r="J136" s="8" t="s">
        <v>46</v>
      </c>
      <c r="K136" s="8" t="s">
        <v>50</v>
      </c>
      <c r="L136" s="10">
        <v>921</v>
      </c>
      <c r="M136" s="17" t="s">
        <v>75</v>
      </c>
      <c r="N136" s="6">
        <v>2020</v>
      </c>
    </row>
    <row r="137" spans="1:14" x14ac:dyDescent="0.25">
      <c r="A137" s="6">
        <v>136</v>
      </c>
      <c r="B137" s="7">
        <v>44052</v>
      </c>
      <c r="C137" s="8" t="s">
        <v>32</v>
      </c>
      <c r="D137" s="8" t="s">
        <v>14</v>
      </c>
      <c r="E137" s="9" t="s">
        <v>15</v>
      </c>
      <c r="F137" s="8" t="s">
        <v>62</v>
      </c>
      <c r="G137" s="8">
        <v>0</v>
      </c>
      <c r="H137" s="8" t="s">
        <v>30</v>
      </c>
      <c r="I137" s="8" t="s">
        <v>39</v>
      </c>
      <c r="J137" s="8" t="s">
        <v>19</v>
      </c>
      <c r="K137" s="8" t="s">
        <v>31</v>
      </c>
      <c r="L137" s="10">
        <v>206</v>
      </c>
      <c r="M137" s="17" t="s">
        <v>75</v>
      </c>
      <c r="N137" s="6">
        <v>2020</v>
      </c>
    </row>
    <row r="138" spans="1:14" x14ac:dyDescent="0.25">
      <c r="A138" s="6">
        <v>137</v>
      </c>
      <c r="B138" s="7">
        <v>44053</v>
      </c>
      <c r="C138" s="8" t="s">
        <v>65</v>
      </c>
      <c r="D138" s="8" t="s">
        <v>33</v>
      </c>
      <c r="E138" s="9" t="s">
        <v>22</v>
      </c>
      <c r="F138" s="8" t="s">
        <v>63</v>
      </c>
      <c r="G138" s="8">
        <v>0</v>
      </c>
      <c r="H138" s="8" t="s">
        <v>55</v>
      </c>
      <c r="I138" s="8" t="s">
        <v>18</v>
      </c>
      <c r="J138" s="8" t="s">
        <v>26</v>
      </c>
      <c r="K138" s="8" t="s">
        <v>59</v>
      </c>
      <c r="L138" s="10">
        <v>0</v>
      </c>
      <c r="M138" s="17" t="s">
        <v>75</v>
      </c>
      <c r="N138" s="6">
        <v>2020</v>
      </c>
    </row>
    <row r="139" spans="1:14" x14ac:dyDescent="0.25">
      <c r="A139" s="6">
        <v>138</v>
      </c>
      <c r="B139" s="7">
        <v>44054</v>
      </c>
      <c r="C139" s="8" t="s">
        <v>32</v>
      </c>
      <c r="D139" s="8" t="s">
        <v>14</v>
      </c>
      <c r="E139" s="9" t="s">
        <v>47</v>
      </c>
      <c r="F139" s="8" t="s">
        <v>23</v>
      </c>
      <c r="G139" s="8">
        <v>0</v>
      </c>
      <c r="H139" s="8" t="s">
        <v>49</v>
      </c>
      <c r="I139" s="8" t="s">
        <v>18</v>
      </c>
      <c r="J139" s="8" t="s">
        <v>19</v>
      </c>
      <c r="K139" s="8" t="s">
        <v>54</v>
      </c>
      <c r="L139" s="10">
        <v>0</v>
      </c>
      <c r="M139" s="17" t="s">
        <v>75</v>
      </c>
      <c r="N139" s="6">
        <v>2020</v>
      </c>
    </row>
    <row r="140" spans="1:14" x14ac:dyDescent="0.25">
      <c r="A140" s="6">
        <v>139</v>
      </c>
      <c r="B140" s="7">
        <v>44055</v>
      </c>
      <c r="C140" s="8" t="s">
        <v>51</v>
      </c>
      <c r="D140" s="8" t="s">
        <v>14</v>
      </c>
      <c r="E140" s="9" t="s">
        <v>47</v>
      </c>
      <c r="F140" s="8" t="s">
        <v>16</v>
      </c>
      <c r="G140" s="8">
        <v>0</v>
      </c>
      <c r="H140" s="8" t="s">
        <v>45</v>
      </c>
      <c r="I140" s="8" t="s">
        <v>53</v>
      </c>
      <c r="J140" s="8" t="s">
        <v>19</v>
      </c>
      <c r="K140" s="8" t="s">
        <v>27</v>
      </c>
      <c r="L140" s="10">
        <v>1835</v>
      </c>
      <c r="M140" s="17" t="s">
        <v>75</v>
      </c>
      <c r="N140" s="6">
        <v>2020</v>
      </c>
    </row>
    <row r="141" spans="1:14" x14ac:dyDescent="0.25">
      <c r="A141" s="6">
        <v>140</v>
      </c>
      <c r="B141" s="7">
        <v>44056</v>
      </c>
      <c r="C141" s="8" t="s">
        <v>44</v>
      </c>
      <c r="D141" s="8" t="s">
        <v>14</v>
      </c>
      <c r="E141" s="9" t="s">
        <v>15</v>
      </c>
      <c r="F141" s="8" t="s">
        <v>63</v>
      </c>
      <c r="G141" s="8">
        <v>1</v>
      </c>
      <c r="H141" s="8" t="s">
        <v>45</v>
      </c>
      <c r="I141" s="8" t="s">
        <v>25</v>
      </c>
      <c r="J141" s="8" t="s">
        <v>19</v>
      </c>
      <c r="K141" s="8" t="s">
        <v>31</v>
      </c>
      <c r="L141" s="10">
        <v>2333</v>
      </c>
      <c r="M141" s="17" t="s">
        <v>75</v>
      </c>
      <c r="N141" s="6">
        <v>2020</v>
      </c>
    </row>
    <row r="142" spans="1:14" x14ac:dyDescent="0.25">
      <c r="A142" s="6">
        <v>141</v>
      </c>
      <c r="B142" s="7">
        <v>44056</v>
      </c>
      <c r="C142" s="8" t="s">
        <v>65</v>
      </c>
      <c r="D142" s="8" t="s">
        <v>33</v>
      </c>
      <c r="E142" s="9" t="s">
        <v>15</v>
      </c>
      <c r="F142" s="8" t="s">
        <v>29</v>
      </c>
      <c r="G142" s="8">
        <v>0</v>
      </c>
      <c r="H142" s="8" t="s">
        <v>57</v>
      </c>
      <c r="I142" s="8" t="s">
        <v>18</v>
      </c>
      <c r="J142" s="8" t="s">
        <v>19</v>
      </c>
      <c r="K142" s="8" t="s">
        <v>50</v>
      </c>
      <c r="L142" s="10">
        <v>0</v>
      </c>
      <c r="M142" s="17" t="s">
        <v>75</v>
      </c>
      <c r="N142" s="6">
        <v>2020</v>
      </c>
    </row>
    <row r="143" spans="1:14" x14ac:dyDescent="0.25">
      <c r="A143" s="6">
        <v>142</v>
      </c>
      <c r="B143" s="7">
        <v>44056</v>
      </c>
      <c r="C143" s="8" t="s">
        <v>58</v>
      </c>
      <c r="D143" s="8" t="s">
        <v>14</v>
      </c>
      <c r="E143" s="9" t="s">
        <v>22</v>
      </c>
      <c r="F143" s="8" t="s">
        <v>48</v>
      </c>
      <c r="G143" s="8">
        <v>0</v>
      </c>
      <c r="H143" s="8" t="s">
        <v>30</v>
      </c>
      <c r="I143" s="8" t="s">
        <v>53</v>
      </c>
      <c r="J143" s="8" t="s">
        <v>19</v>
      </c>
      <c r="K143" s="8" t="s">
        <v>27</v>
      </c>
      <c r="L143" s="10">
        <v>1890</v>
      </c>
      <c r="M143" s="17" t="s">
        <v>75</v>
      </c>
      <c r="N143" s="6">
        <v>2020</v>
      </c>
    </row>
    <row r="144" spans="1:14" x14ac:dyDescent="0.25">
      <c r="A144" s="6">
        <v>143</v>
      </c>
      <c r="B144" s="7">
        <v>44058</v>
      </c>
      <c r="C144" s="8" t="s">
        <v>56</v>
      </c>
      <c r="D144" s="8" t="s">
        <v>14</v>
      </c>
      <c r="E144" s="9" t="s">
        <v>42</v>
      </c>
      <c r="F144" s="8" t="s">
        <v>36</v>
      </c>
      <c r="G144" s="8">
        <v>0</v>
      </c>
      <c r="H144" s="8" t="s">
        <v>30</v>
      </c>
      <c r="I144" s="8" t="s">
        <v>53</v>
      </c>
      <c r="J144" s="8" t="s">
        <v>46</v>
      </c>
      <c r="K144" s="8" t="s">
        <v>40</v>
      </c>
      <c r="L144" s="10">
        <v>1951</v>
      </c>
      <c r="M144" s="17" t="s">
        <v>75</v>
      </c>
      <c r="N144" s="6">
        <v>2020</v>
      </c>
    </row>
    <row r="145" spans="1:14" x14ac:dyDescent="0.25">
      <c r="A145" s="6">
        <v>144</v>
      </c>
      <c r="B145" s="7">
        <v>44064</v>
      </c>
      <c r="C145" s="8" t="s">
        <v>51</v>
      </c>
      <c r="D145" s="8" t="s">
        <v>14</v>
      </c>
      <c r="E145" s="9" t="s">
        <v>47</v>
      </c>
      <c r="F145" s="8" t="s">
        <v>35</v>
      </c>
      <c r="G145" s="8">
        <v>5</v>
      </c>
      <c r="H145" s="8" t="s">
        <v>57</v>
      </c>
      <c r="I145" s="8" t="s">
        <v>25</v>
      </c>
      <c r="J145" s="8" t="s">
        <v>46</v>
      </c>
      <c r="K145" s="8" t="s">
        <v>31</v>
      </c>
      <c r="L145" s="10">
        <v>3692</v>
      </c>
      <c r="M145" s="17" t="s">
        <v>75</v>
      </c>
      <c r="N145" s="6">
        <v>2020</v>
      </c>
    </row>
    <row r="146" spans="1:14" x14ac:dyDescent="0.25">
      <c r="A146" s="6">
        <v>145</v>
      </c>
      <c r="B146" s="7">
        <v>44064</v>
      </c>
      <c r="C146" s="8" t="s">
        <v>65</v>
      </c>
      <c r="D146" s="8" t="s">
        <v>14</v>
      </c>
      <c r="E146" s="9" t="s">
        <v>47</v>
      </c>
      <c r="F146" s="8" t="s">
        <v>63</v>
      </c>
      <c r="G146" s="8">
        <v>0</v>
      </c>
      <c r="H146" s="8" t="s">
        <v>17</v>
      </c>
      <c r="I146" s="8" t="s">
        <v>39</v>
      </c>
      <c r="J146" s="8" t="s">
        <v>46</v>
      </c>
      <c r="K146" s="8" t="s">
        <v>31</v>
      </c>
      <c r="L146" s="10">
        <v>242</v>
      </c>
      <c r="M146" s="17" t="s">
        <v>75</v>
      </c>
      <c r="N146" s="6">
        <v>2020</v>
      </c>
    </row>
    <row r="147" spans="1:14" x14ac:dyDescent="0.25">
      <c r="A147" s="6">
        <v>146</v>
      </c>
      <c r="B147" s="7">
        <v>44066</v>
      </c>
      <c r="C147" s="8" t="s">
        <v>58</v>
      </c>
      <c r="D147" s="8" t="s">
        <v>33</v>
      </c>
      <c r="E147" s="9" t="s">
        <v>15</v>
      </c>
      <c r="F147" s="8" t="s">
        <v>29</v>
      </c>
      <c r="G147" s="8">
        <v>0</v>
      </c>
      <c r="H147" s="8" t="s">
        <v>60</v>
      </c>
      <c r="I147" s="8" t="s">
        <v>18</v>
      </c>
      <c r="J147" s="8" t="s">
        <v>46</v>
      </c>
      <c r="K147" s="8" t="s">
        <v>20</v>
      </c>
      <c r="L147" s="10">
        <v>0</v>
      </c>
      <c r="M147" s="17" t="s">
        <v>75</v>
      </c>
      <c r="N147" s="6">
        <v>2020</v>
      </c>
    </row>
    <row r="148" spans="1:14" x14ac:dyDescent="0.25">
      <c r="A148" s="6">
        <v>147</v>
      </c>
      <c r="B148" s="7">
        <v>44068</v>
      </c>
      <c r="C148" s="8" t="s">
        <v>32</v>
      </c>
      <c r="D148" s="8" t="s">
        <v>14</v>
      </c>
      <c r="E148" s="9" t="s">
        <v>47</v>
      </c>
      <c r="F148" s="8" t="s">
        <v>63</v>
      </c>
      <c r="G148" s="8">
        <v>0</v>
      </c>
      <c r="H148" s="8" t="s">
        <v>57</v>
      </c>
      <c r="I148" s="8" t="s">
        <v>18</v>
      </c>
      <c r="J148" s="8" t="s">
        <v>26</v>
      </c>
      <c r="K148" s="8" t="s">
        <v>31</v>
      </c>
      <c r="L148" s="10">
        <v>0</v>
      </c>
      <c r="M148" s="17" t="s">
        <v>75</v>
      </c>
      <c r="N148" s="6">
        <v>2020</v>
      </c>
    </row>
    <row r="149" spans="1:14" x14ac:dyDescent="0.25">
      <c r="A149" s="6">
        <v>148</v>
      </c>
      <c r="B149" s="7">
        <v>44069</v>
      </c>
      <c r="C149" s="8" t="s">
        <v>64</v>
      </c>
      <c r="D149" s="8" t="s">
        <v>14</v>
      </c>
      <c r="E149" s="9" t="s">
        <v>22</v>
      </c>
      <c r="F149" s="8" t="s">
        <v>63</v>
      </c>
      <c r="G149" s="8">
        <v>0</v>
      </c>
      <c r="H149" s="8" t="s">
        <v>49</v>
      </c>
      <c r="I149" s="8" t="s">
        <v>53</v>
      </c>
      <c r="J149" s="8" t="s">
        <v>26</v>
      </c>
      <c r="K149" s="8" t="s">
        <v>52</v>
      </c>
      <c r="L149" s="10">
        <v>845</v>
      </c>
      <c r="M149" s="17" t="s">
        <v>75</v>
      </c>
      <c r="N149" s="6">
        <v>2020</v>
      </c>
    </row>
    <row r="150" spans="1:14" x14ac:dyDescent="0.25">
      <c r="A150" s="6">
        <v>149</v>
      </c>
      <c r="B150" s="7">
        <v>44070</v>
      </c>
      <c r="C150" s="8" t="s">
        <v>28</v>
      </c>
      <c r="D150" s="8" t="s">
        <v>14</v>
      </c>
      <c r="E150" s="9" t="s">
        <v>47</v>
      </c>
      <c r="F150" s="8" t="s">
        <v>48</v>
      </c>
      <c r="G150" s="8">
        <v>0</v>
      </c>
      <c r="H150" s="8" t="s">
        <v>60</v>
      </c>
      <c r="I150" s="8" t="s">
        <v>39</v>
      </c>
      <c r="J150" s="8" t="s">
        <v>26</v>
      </c>
      <c r="K150" s="8" t="s">
        <v>31</v>
      </c>
      <c r="L150" s="10">
        <v>395</v>
      </c>
      <c r="M150" s="17" t="s">
        <v>75</v>
      </c>
      <c r="N150" s="6">
        <v>2020</v>
      </c>
    </row>
    <row r="151" spans="1:14" x14ac:dyDescent="0.25">
      <c r="A151" s="6">
        <v>150</v>
      </c>
      <c r="B151" s="7">
        <v>44070</v>
      </c>
      <c r="C151" s="8" t="s">
        <v>58</v>
      </c>
      <c r="D151" s="8" t="s">
        <v>33</v>
      </c>
      <c r="E151" s="9" t="s">
        <v>34</v>
      </c>
      <c r="F151" s="8" t="s">
        <v>36</v>
      </c>
      <c r="G151" s="8">
        <v>0</v>
      </c>
      <c r="H151" s="8" t="s">
        <v>45</v>
      </c>
      <c r="I151" s="8" t="s">
        <v>39</v>
      </c>
      <c r="J151" s="8" t="s">
        <v>19</v>
      </c>
      <c r="K151" s="8" t="s">
        <v>50</v>
      </c>
      <c r="L151" s="10">
        <v>88</v>
      </c>
      <c r="M151" s="17" t="s">
        <v>75</v>
      </c>
      <c r="N151" s="6">
        <v>2020</v>
      </c>
    </row>
    <row r="152" spans="1:14" x14ac:dyDescent="0.25">
      <c r="A152" s="6">
        <v>151</v>
      </c>
      <c r="B152" s="7">
        <v>44073</v>
      </c>
      <c r="C152" s="8" t="s">
        <v>32</v>
      </c>
      <c r="D152" s="8" t="s">
        <v>14</v>
      </c>
      <c r="E152" s="9" t="s">
        <v>47</v>
      </c>
      <c r="F152" s="8" t="s">
        <v>29</v>
      </c>
      <c r="G152" s="8">
        <v>0</v>
      </c>
      <c r="H152" s="8" t="s">
        <v>24</v>
      </c>
      <c r="I152" s="8" t="s">
        <v>18</v>
      </c>
      <c r="J152" s="8" t="s">
        <v>19</v>
      </c>
      <c r="K152" s="8" t="s">
        <v>20</v>
      </c>
      <c r="L152" s="10">
        <v>0</v>
      </c>
      <c r="M152" s="17" t="s">
        <v>75</v>
      </c>
      <c r="N152" s="6">
        <v>2020</v>
      </c>
    </row>
    <row r="153" spans="1:14" x14ac:dyDescent="0.25">
      <c r="A153" s="6">
        <v>152</v>
      </c>
      <c r="B153" s="7">
        <v>44074</v>
      </c>
      <c r="C153" s="8" t="s">
        <v>58</v>
      </c>
      <c r="D153" s="8" t="s">
        <v>33</v>
      </c>
      <c r="E153" s="9" t="s">
        <v>15</v>
      </c>
      <c r="F153" s="8" t="s">
        <v>63</v>
      </c>
      <c r="G153" s="8">
        <v>2.5</v>
      </c>
      <c r="H153" s="8" t="s">
        <v>37</v>
      </c>
      <c r="I153" s="8" t="s">
        <v>25</v>
      </c>
      <c r="J153" s="8" t="s">
        <v>46</v>
      </c>
      <c r="K153" s="8" t="s">
        <v>54</v>
      </c>
      <c r="L153" s="10">
        <v>3488</v>
      </c>
      <c r="M153" s="17" t="s">
        <v>75</v>
      </c>
      <c r="N153" s="6">
        <v>2020</v>
      </c>
    </row>
    <row r="154" spans="1:14" x14ac:dyDescent="0.25">
      <c r="A154" s="6">
        <v>153</v>
      </c>
      <c r="B154" s="7">
        <v>44079</v>
      </c>
      <c r="C154" s="8" t="s">
        <v>21</v>
      </c>
      <c r="D154" s="8" t="s">
        <v>33</v>
      </c>
      <c r="E154" s="9" t="s">
        <v>22</v>
      </c>
      <c r="F154" s="8" t="s">
        <v>29</v>
      </c>
      <c r="G154" s="8">
        <v>0</v>
      </c>
      <c r="H154" s="8" t="s">
        <v>55</v>
      </c>
      <c r="I154" s="8" t="s">
        <v>39</v>
      </c>
      <c r="J154" s="8" t="s">
        <v>26</v>
      </c>
      <c r="K154" s="8" t="s">
        <v>31</v>
      </c>
      <c r="L154" s="10">
        <v>351</v>
      </c>
      <c r="M154" s="17" t="s">
        <v>76</v>
      </c>
      <c r="N154" s="6">
        <v>2020</v>
      </c>
    </row>
    <row r="155" spans="1:14" x14ac:dyDescent="0.25">
      <c r="A155" s="6">
        <v>154</v>
      </c>
      <c r="B155" s="7">
        <v>44080</v>
      </c>
      <c r="C155" s="8" t="s">
        <v>51</v>
      </c>
      <c r="D155" s="8" t="s">
        <v>14</v>
      </c>
      <c r="E155" s="9" t="s">
        <v>22</v>
      </c>
      <c r="F155" s="8" t="s">
        <v>48</v>
      </c>
      <c r="G155" s="8">
        <v>0</v>
      </c>
      <c r="H155" s="8" t="s">
        <v>24</v>
      </c>
      <c r="I155" s="8" t="s">
        <v>39</v>
      </c>
      <c r="J155" s="8" t="s">
        <v>46</v>
      </c>
      <c r="K155" s="8" t="s">
        <v>27</v>
      </c>
      <c r="L155" s="10">
        <v>430</v>
      </c>
      <c r="M155" s="17" t="s">
        <v>76</v>
      </c>
      <c r="N155" s="6">
        <v>2020</v>
      </c>
    </row>
    <row r="156" spans="1:14" x14ac:dyDescent="0.25">
      <c r="A156" s="6">
        <v>155</v>
      </c>
      <c r="B156" s="7">
        <v>44081</v>
      </c>
      <c r="C156" s="8" t="s">
        <v>64</v>
      </c>
      <c r="D156" s="8" t="s">
        <v>14</v>
      </c>
      <c r="E156" s="9" t="s">
        <v>15</v>
      </c>
      <c r="F156" s="8" t="s">
        <v>35</v>
      </c>
      <c r="G156" s="8">
        <v>0</v>
      </c>
      <c r="H156" s="8" t="s">
        <v>60</v>
      </c>
      <c r="I156" s="8" t="s">
        <v>53</v>
      </c>
      <c r="J156" s="8" t="s">
        <v>26</v>
      </c>
      <c r="K156" s="8" t="s">
        <v>50</v>
      </c>
      <c r="L156" s="10">
        <v>4871</v>
      </c>
      <c r="M156" s="17" t="s">
        <v>76</v>
      </c>
      <c r="N156" s="6">
        <v>2020</v>
      </c>
    </row>
    <row r="157" spans="1:14" x14ac:dyDescent="0.25">
      <c r="A157" s="6">
        <v>156</v>
      </c>
      <c r="B157" s="7">
        <v>44085</v>
      </c>
      <c r="C157" s="8" t="s">
        <v>41</v>
      </c>
      <c r="D157" s="8" t="s">
        <v>14</v>
      </c>
      <c r="E157" s="9" t="s">
        <v>22</v>
      </c>
      <c r="F157" s="8" t="s">
        <v>48</v>
      </c>
      <c r="G157" s="8">
        <v>1.5</v>
      </c>
      <c r="H157" s="8" t="s">
        <v>60</v>
      </c>
      <c r="I157" s="8" t="s">
        <v>25</v>
      </c>
      <c r="J157" s="8" t="s">
        <v>46</v>
      </c>
      <c r="K157" s="8" t="s">
        <v>40</v>
      </c>
      <c r="L157" s="10">
        <v>1230</v>
      </c>
      <c r="M157" s="17" t="s">
        <v>76</v>
      </c>
      <c r="N157" s="6">
        <v>2020</v>
      </c>
    </row>
    <row r="158" spans="1:14" x14ac:dyDescent="0.25">
      <c r="A158" s="6">
        <v>157</v>
      </c>
      <c r="B158" s="7">
        <v>44087</v>
      </c>
      <c r="C158" s="8" t="s">
        <v>61</v>
      </c>
      <c r="D158" s="8" t="s">
        <v>14</v>
      </c>
      <c r="E158" s="9" t="s">
        <v>34</v>
      </c>
      <c r="F158" s="8" t="s">
        <v>48</v>
      </c>
      <c r="G158" s="8">
        <v>0</v>
      </c>
      <c r="H158" s="8" t="s">
        <v>37</v>
      </c>
      <c r="I158" s="8" t="s">
        <v>18</v>
      </c>
      <c r="J158" s="8" t="s">
        <v>46</v>
      </c>
      <c r="K158" s="8" t="s">
        <v>59</v>
      </c>
      <c r="L158" s="10">
        <v>0</v>
      </c>
      <c r="M158" s="17" t="s">
        <v>76</v>
      </c>
      <c r="N158" s="6">
        <v>2020</v>
      </c>
    </row>
    <row r="159" spans="1:14" x14ac:dyDescent="0.25">
      <c r="A159" s="6">
        <v>158</v>
      </c>
      <c r="B159" s="7">
        <v>44088</v>
      </c>
      <c r="C159" s="8" t="s">
        <v>28</v>
      </c>
      <c r="D159" s="8" t="s">
        <v>14</v>
      </c>
      <c r="E159" s="9" t="s">
        <v>34</v>
      </c>
      <c r="F159" s="8" t="s">
        <v>29</v>
      </c>
      <c r="G159" s="8">
        <v>0</v>
      </c>
      <c r="H159" s="8" t="s">
        <v>57</v>
      </c>
      <c r="I159" s="8" t="s">
        <v>53</v>
      </c>
      <c r="J159" s="8" t="s">
        <v>46</v>
      </c>
      <c r="K159" s="8" t="s">
        <v>27</v>
      </c>
      <c r="L159" s="10">
        <v>1136</v>
      </c>
      <c r="M159" s="17" t="s">
        <v>76</v>
      </c>
      <c r="N159" s="6">
        <v>2020</v>
      </c>
    </row>
    <row r="160" spans="1:14" x14ac:dyDescent="0.25">
      <c r="A160" s="6">
        <v>159</v>
      </c>
      <c r="B160" s="7">
        <v>44090</v>
      </c>
      <c r="C160" s="8" t="s">
        <v>44</v>
      </c>
      <c r="D160" s="8" t="s">
        <v>33</v>
      </c>
      <c r="E160" s="9" t="s">
        <v>15</v>
      </c>
      <c r="F160" s="8" t="s">
        <v>36</v>
      </c>
      <c r="G160" s="8">
        <v>0</v>
      </c>
      <c r="H160" s="8" t="s">
        <v>55</v>
      </c>
      <c r="I160" s="8" t="s">
        <v>53</v>
      </c>
      <c r="J160" s="8" t="s">
        <v>26</v>
      </c>
      <c r="K160" s="8" t="s">
        <v>27</v>
      </c>
      <c r="L160" s="10">
        <v>1819</v>
      </c>
      <c r="M160" s="17" t="s">
        <v>76</v>
      </c>
      <c r="N160" s="6">
        <v>2020</v>
      </c>
    </row>
    <row r="161" spans="1:14" x14ac:dyDescent="0.25">
      <c r="A161" s="6">
        <v>160</v>
      </c>
      <c r="B161" s="7">
        <v>44096</v>
      </c>
      <c r="C161" s="8" t="s">
        <v>44</v>
      </c>
      <c r="D161" s="8" t="s">
        <v>14</v>
      </c>
      <c r="E161" s="9" t="s">
        <v>22</v>
      </c>
      <c r="F161" s="8" t="s">
        <v>36</v>
      </c>
      <c r="G161" s="8">
        <v>2.5</v>
      </c>
      <c r="H161" s="8" t="s">
        <v>30</v>
      </c>
      <c r="I161" s="8" t="s">
        <v>25</v>
      </c>
      <c r="J161" s="8" t="s">
        <v>46</v>
      </c>
      <c r="K161" s="8" t="s">
        <v>54</v>
      </c>
      <c r="L161" s="10">
        <v>709</v>
      </c>
      <c r="M161" s="17" t="s">
        <v>76</v>
      </c>
      <c r="N161" s="6">
        <v>2020</v>
      </c>
    </row>
    <row r="162" spans="1:14" x14ac:dyDescent="0.25">
      <c r="A162" s="6">
        <v>161</v>
      </c>
      <c r="B162" s="7">
        <v>44097</v>
      </c>
      <c r="C162" s="8" t="s">
        <v>32</v>
      </c>
      <c r="D162" s="8" t="s">
        <v>14</v>
      </c>
      <c r="E162" s="9" t="s">
        <v>15</v>
      </c>
      <c r="F162" s="8" t="s">
        <v>48</v>
      </c>
      <c r="G162" s="8">
        <v>0</v>
      </c>
      <c r="H162" s="8" t="s">
        <v>49</v>
      </c>
      <c r="I162" s="8" t="s">
        <v>39</v>
      </c>
      <c r="J162" s="8" t="s">
        <v>19</v>
      </c>
      <c r="K162" s="8" t="s">
        <v>54</v>
      </c>
      <c r="L162" s="10">
        <v>366</v>
      </c>
      <c r="M162" s="17" t="s">
        <v>76</v>
      </c>
      <c r="N162" s="6">
        <v>2020</v>
      </c>
    </row>
    <row r="163" spans="1:14" x14ac:dyDescent="0.25">
      <c r="A163" s="6">
        <v>162</v>
      </c>
      <c r="B163" s="7">
        <v>44099</v>
      </c>
      <c r="C163" s="8" t="s">
        <v>44</v>
      </c>
      <c r="D163" s="8" t="s">
        <v>14</v>
      </c>
      <c r="E163" s="9" t="s">
        <v>34</v>
      </c>
      <c r="F163" s="8" t="s">
        <v>23</v>
      </c>
      <c r="G163" s="8">
        <v>0</v>
      </c>
      <c r="H163" s="8" t="s">
        <v>17</v>
      </c>
      <c r="I163" s="8" t="s">
        <v>39</v>
      </c>
      <c r="J163" s="8" t="s">
        <v>46</v>
      </c>
      <c r="K163" s="8" t="s">
        <v>31</v>
      </c>
      <c r="L163" s="10">
        <v>133</v>
      </c>
      <c r="M163" s="17" t="s">
        <v>76</v>
      </c>
      <c r="N163" s="6">
        <v>2020</v>
      </c>
    </row>
    <row r="164" spans="1:14" x14ac:dyDescent="0.25">
      <c r="A164" s="6">
        <v>163</v>
      </c>
      <c r="B164" s="7">
        <v>44101</v>
      </c>
      <c r="C164" s="8" t="s">
        <v>56</v>
      </c>
      <c r="D164" s="8" t="s">
        <v>14</v>
      </c>
      <c r="E164" s="9" t="s">
        <v>47</v>
      </c>
      <c r="F164" s="8" t="s">
        <v>36</v>
      </c>
      <c r="G164" s="8">
        <v>0</v>
      </c>
      <c r="H164" s="8" t="s">
        <v>37</v>
      </c>
      <c r="I164" s="8" t="s">
        <v>39</v>
      </c>
      <c r="J164" s="8" t="s">
        <v>19</v>
      </c>
      <c r="K164" s="8" t="s">
        <v>27</v>
      </c>
      <c r="L164" s="10">
        <v>470</v>
      </c>
      <c r="M164" s="17" t="s">
        <v>76</v>
      </c>
      <c r="N164" s="6">
        <v>2020</v>
      </c>
    </row>
    <row r="165" spans="1:14" x14ac:dyDescent="0.25">
      <c r="A165" s="6">
        <v>164</v>
      </c>
      <c r="B165" s="7">
        <v>44104</v>
      </c>
      <c r="C165" s="8" t="s">
        <v>21</v>
      </c>
      <c r="D165" s="8" t="s">
        <v>14</v>
      </c>
      <c r="E165" s="9" t="s">
        <v>47</v>
      </c>
      <c r="F165" s="8" t="s">
        <v>29</v>
      </c>
      <c r="G165" s="8">
        <v>0</v>
      </c>
      <c r="H165" s="8" t="s">
        <v>30</v>
      </c>
      <c r="I165" s="8" t="s">
        <v>18</v>
      </c>
      <c r="J165" s="8" t="s">
        <v>46</v>
      </c>
      <c r="K165" s="8" t="s">
        <v>52</v>
      </c>
      <c r="L165" s="10">
        <v>0</v>
      </c>
      <c r="M165" s="17" t="s">
        <v>76</v>
      </c>
      <c r="N165" s="6">
        <v>2020</v>
      </c>
    </row>
    <row r="166" spans="1:14" x14ac:dyDescent="0.25">
      <c r="A166" s="6">
        <v>165</v>
      </c>
      <c r="B166" s="7">
        <v>44108</v>
      </c>
      <c r="C166" s="8" t="s">
        <v>44</v>
      </c>
      <c r="D166" s="8" t="s">
        <v>14</v>
      </c>
      <c r="E166" s="9" t="s">
        <v>15</v>
      </c>
      <c r="F166" s="8" t="s">
        <v>36</v>
      </c>
      <c r="G166" s="8">
        <v>1</v>
      </c>
      <c r="H166" s="8" t="s">
        <v>57</v>
      </c>
      <c r="I166" s="8" t="s">
        <v>25</v>
      </c>
      <c r="J166" s="8" t="s">
        <v>26</v>
      </c>
      <c r="K166" s="8" t="s">
        <v>40</v>
      </c>
      <c r="L166" s="10">
        <v>2237</v>
      </c>
      <c r="M166" s="17" t="s">
        <v>77</v>
      </c>
      <c r="N166" s="6">
        <v>2020</v>
      </c>
    </row>
    <row r="167" spans="1:14" x14ac:dyDescent="0.25">
      <c r="A167" s="6">
        <v>166</v>
      </c>
      <c r="B167" s="7">
        <v>44113</v>
      </c>
      <c r="C167" s="8" t="s">
        <v>51</v>
      </c>
      <c r="D167" s="8" t="s">
        <v>14</v>
      </c>
      <c r="E167" s="9" t="s">
        <v>34</v>
      </c>
      <c r="F167" s="8" t="s">
        <v>16</v>
      </c>
      <c r="G167" s="8">
        <v>0</v>
      </c>
      <c r="H167" s="8" t="s">
        <v>49</v>
      </c>
      <c r="I167" s="8" t="s">
        <v>39</v>
      </c>
      <c r="J167" s="8" t="s">
        <v>26</v>
      </c>
      <c r="K167" s="8" t="s">
        <v>50</v>
      </c>
      <c r="L167" s="10">
        <v>58</v>
      </c>
      <c r="M167" s="17" t="s">
        <v>77</v>
      </c>
      <c r="N167" s="6">
        <v>2020</v>
      </c>
    </row>
    <row r="168" spans="1:14" x14ac:dyDescent="0.25">
      <c r="A168" s="6">
        <v>167</v>
      </c>
      <c r="B168" s="7">
        <v>44115</v>
      </c>
      <c r="C168" s="8" t="s">
        <v>13</v>
      </c>
      <c r="D168" s="8" t="s">
        <v>14</v>
      </c>
      <c r="E168" s="9" t="s">
        <v>47</v>
      </c>
      <c r="F168" s="8" t="s">
        <v>38</v>
      </c>
      <c r="G168" s="8">
        <v>4.5</v>
      </c>
      <c r="H168" s="8" t="s">
        <v>17</v>
      </c>
      <c r="I168" s="8" t="s">
        <v>25</v>
      </c>
      <c r="J168" s="8" t="s">
        <v>46</v>
      </c>
      <c r="K168" s="8" t="s">
        <v>27</v>
      </c>
      <c r="L168" s="10">
        <v>3299</v>
      </c>
      <c r="M168" s="17" t="s">
        <v>77</v>
      </c>
      <c r="N168" s="6">
        <v>2020</v>
      </c>
    </row>
    <row r="169" spans="1:14" x14ac:dyDescent="0.25">
      <c r="A169" s="6">
        <v>168</v>
      </c>
      <c r="B169" s="7">
        <v>44116</v>
      </c>
      <c r="C169" s="8" t="s">
        <v>65</v>
      </c>
      <c r="D169" s="8" t="s">
        <v>14</v>
      </c>
      <c r="E169" s="9" t="s">
        <v>22</v>
      </c>
      <c r="F169" s="8" t="s">
        <v>63</v>
      </c>
      <c r="G169" s="8">
        <v>0</v>
      </c>
      <c r="H169" s="8" t="s">
        <v>45</v>
      </c>
      <c r="I169" s="8" t="s">
        <v>39</v>
      </c>
      <c r="J169" s="8" t="s">
        <v>46</v>
      </c>
      <c r="K169" s="8" t="s">
        <v>27</v>
      </c>
      <c r="L169" s="10">
        <v>369</v>
      </c>
      <c r="M169" s="17" t="s">
        <v>77</v>
      </c>
      <c r="N169" s="6">
        <v>2020</v>
      </c>
    </row>
    <row r="170" spans="1:14" x14ac:dyDescent="0.25">
      <c r="A170" s="6">
        <v>169</v>
      </c>
      <c r="B170" s="7">
        <v>44116</v>
      </c>
      <c r="C170" s="8" t="s">
        <v>13</v>
      </c>
      <c r="D170" s="8" t="s">
        <v>14</v>
      </c>
      <c r="E170" s="9" t="s">
        <v>47</v>
      </c>
      <c r="F170" s="8" t="s">
        <v>38</v>
      </c>
      <c r="G170" s="8">
        <v>0</v>
      </c>
      <c r="H170" s="8" t="s">
        <v>30</v>
      </c>
      <c r="I170" s="8" t="s">
        <v>39</v>
      </c>
      <c r="J170" s="8" t="s">
        <v>26</v>
      </c>
      <c r="K170" s="8" t="s">
        <v>40</v>
      </c>
      <c r="L170" s="10">
        <v>229</v>
      </c>
      <c r="M170" s="17" t="s">
        <v>77</v>
      </c>
      <c r="N170" s="6">
        <v>2020</v>
      </c>
    </row>
    <row r="171" spans="1:14" x14ac:dyDescent="0.25">
      <c r="A171" s="6">
        <v>170</v>
      </c>
      <c r="B171" s="7">
        <v>44117</v>
      </c>
      <c r="C171" s="8" t="s">
        <v>21</v>
      </c>
      <c r="D171" s="8" t="s">
        <v>14</v>
      </c>
      <c r="E171" s="9" t="s">
        <v>15</v>
      </c>
      <c r="F171" s="8" t="s">
        <v>48</v>
      </c>
      <c r="G171" s="8">
        <v>2.5</v>
      </c>
      <c r="H171" s="8" t="s">
        <v>37</v>
      </c>
      <c r="I171" s="8" t="s">
        <v>25</v>
      </c>
      <c r="J171" s="8" t="s">
        <v>26</v>
      </c>
      <c r="K171" s="8" t="s">
        <v>43</v>
      </c>
      <c r="L171" s="10">
        <v>1731</v>
      </c>
      <c r="M171" s="17" t="s">
        <v>77</v>
      </c>
      <c r="N171" s="6">
        <v>2020</v>
      </c>
    </row>
    <row r="172" spans="1:14" x14ac:dyDescent="0.25">
      <c r="A172" s="6">
        <v>171</v>
      </c>
      <c r="B172" s="7">
        <v>44117</v>
      </c>
      <c r="C172" s="8" t="s">
        <v>21</v>
      </c>
      <c r="D172" s="8" t="s">
        <v>14</v>
      </c>
      <c r="E172" s="9" t="s">
        <v>47</v>
      </c>
      <c r="F172" s="8" t="s">
        <v>38</v>
      </c>
      <c r="G172" s="8">
        <v>1.5</v>
      </c>
      <c r="H172" s="8" t="s">
        <v>49</v>
      </c>
      <c r="I172" s="8" t="s">
        <v>25</v>
      </c>
      <c r="J172" s="8" t="s">
        <v>19</v>
      </c>
      <c r="K172" s="8" t="s">
        <v>27</v>
      </c>
      <c r="L172" s="10">
        <v>4823</v>
      </c>
      <c r="M172" s="17" t="s">
        <v>77</v>
      </c>
      <c r="N172" s="6">
        <v>2020</v>
      </c>
    </row>
    <row r="173" spans="1:14" x14ac:dyDescent="0.25">
      <c r="A173" s="6">
        <v>172</v>
      </c>
      <c r="B173" s="7">
        <v>44118</v>
      </c>
      <c r="C173" s="8" t="s">
        <v>64</v>
      </c>
      <c r="D173" s="8" t="s">
        <v>14</v>
      </c>
      <c r="E173" s="9" t="s">
        <v>34</v>
      </c>
      <c r="F173" s="8" t="s">
        <v>36</v>
      </c>
      <c r="G173" s="8">
        <v>0</v>
      </c>
      <c r="H173" s="8" t="s">
        <v>30</v>
      </c>
      <c r="I173" s="8" t="s">
        <v>39</v>
      </c>
      <c r="J173" s="8" t="s">
        <v>46</v>
      </c>
      <c r="K173" s="8" t="s">
        <v>27</v>
      </c>
      <c r="L173" s="10">
        <v>57</v>
      </c>
      <c r="M173" s="17" t="s">
        <v>77</v>
      </c>
      <c r="N173" s="6">
        <v>2020</v>
      </c>
    </row>
    <row r="174" spans="1:14" x14ac:dyDescent="0.25">
      <c r="A174" s="6">
        <v>173</v>
      </c>
      <c r="B174" s="7">
        <v>44120</v>
      </c>
      <c r="C174" s="8" t="s">
        <v>41</v>
      </c>
      <c r="D174" s="8" t="s">
        <v>14</v>
      </c>
      <c r="E174" s="9" t="s">
        <v>34</v>
      </c>
      <c r="F174" s="8" t="s">
        <v>16</v>
      </c>
      <c r="G174" s="8">
        <v>0</v>
      </c>
      <c r="H174" s="8" t="s">
        <v>17</v>
      </c>
      <c r="I174" s="8" t="s">
        <v>39</v>
      </c>
      <c r="J174" s="8" t="s">
        <v>26</v>
      </c>
      <c r="K174" s="8" t="s">
        <v>52</v>
      </c>
      <c r="L174" s="10">
        <v>466</v>
      </c>
      <c r="M174" s="17" t="s">
        <v>77</v>
      </c>
      <c r="N174" s="6">
        <v>2020</v>
      </c>
    </row>
    <row r="175" spans="1:14" x14ac:dyDescent="0.25">
      <c r="A175" s="6">
        <v>174</v>
      </c>
      <c r="B175" s="7">
        <v>44120</v>
      </c>
      <c r="C175" s="8" t="s">
        <v>21</v>
      </c>
      <c r="D175" s="8" t="s">
        <v>14</v>
      </c>
      <c r="E175" s="9" t="s">
        <v>15</v>
      </c>
      <c r="F175" s="8" t="s">
        <v>63</v>
      </c>
      <c r="G175" s="8">
        <v>0</v>
      </c>
      <c r="H175" s="8" t="s">
        <v>45</v>
      </c>
      <c r="I175" s="8" t="s">
        <v>18</v>
      </c>
      <c r="J175" s="8" t="s">
        <v>46</v>
      </c>
      <c r="K175" s="8" t="s">
        <v>31</v>
      </c>
      <c r="L175" s="10">
        <v>0</v>
      </c>
      <c r="M175" s="17" t="s">
        <v>77</v>
      </c>
      <c r="N175" s="6">
        <v>2020</v>
      </c>
    </row>
    <row r="176" spans="1:14" x14ac:dyDescent="0.25">
      <c r="A176" s="6">
        <v>175</v>
      </c>
      <c r="B176" s="7">
        <v>44121</v>
      </c>
      <c r="C176" s="8" t="s">
        <v>32</v>
      </c>
      <c r="D176" s="8" t="s">
        <v>14</v>
      </c>
      <c r="E176" s="9" t="s">
        <v>34</v>
      </c>
      <c r="F176" s="8" t="s">
        <v>23</v>
      </c>
      <c r="G176" s="8">
        <v>0</v>
      </c>
      <c r="H176" s="8" t="s">
        <v>45</v>
      </c>
      <c r="I176" s="8" t="s">
        <v>18</v>
      </c>
      <c r="J176" s="8" t="s">
        <v>46</v>
      </c>
      <c r="K176" s="8" t="s">
        <v>20</v>
      </c>
      <c r="L176" s="10">
        <v>0</v>
      </c>
      <c r="M176" s="17" t="s">
        <v>77</v>
      </c>
      <c r="N176" s="6">
        <v>2020</v>
      </c>
    </row>
    <row r="177" spans="1:14" x14ac:dyDescent="0.25">
      <c r="A177" s="6">
        <v>176</v>
      </c>
      <c r="B177" s="7">
        <v>44123</v>
      </c>
      <c r="C177" s="8" t="s">
        <v>28</v>
      </c>
      <c r="D177" s="8" t="s">
        <v>14</v>
      </c>
      <c r="E177" s="9" t="s">
        <v>34</v>
      </c>
      <c r="F177" s="8" t="s">
        <v>35</v>
      </c>
      <c r="G177" s="8">
        <v>0</v>
      </c>
      <c r="H177" s="8" t="s">
        <v>55</v>
      </c>
      <c r="I177" s="8" t="s">
        <v>18</v>
      </c>
      <c r="J177" s="8" t="s">
        <v>26</v>
      </c>
      <c r="K177" s="8" t="s">
        <v>40</v>
      </c>
      <c r="L177" s="10">
        <v>0</v>
      </c>
      <c r="M177" s="17" t="s">
        <v>77</v>
      </c>
      <c r="N177" s="6">
        <v>2020</v>
      </c>
    </row>
    <row r="178" spans="1:14" x14ac:dyDescent="0.25">
      <c r="A178" s="6">
        <v>177</v>
      </c>
      <c r="B178" s="7">
        <v>44126</v>
      </c>
      <c r="C178" s="8" t="s">
        <v>58</v>
      </c>
      <c r="D178" s="8" t="s">
        <v>14</v>
      </c>
      <c r="E178" s="9" t="s">
        <v>22</v>
      </c>
      <c r="F178" s="8" t="s">
        <v>63</v>
      </c>
      <c r="G178" s="8">
        <v>2</v>
      </c>
      <c r="H178" s="8" t="s">
        <v>17</v>
      </c>
      <c r="I178" s="8" t="s">
        <v>25</v>
      </c>
      <c r="J178" s="8" t="s">
        <v>46</v>
      </c>
      <c r="K178" s="8" t="s">
        <v>27</v>
      </c>
      <c r="L178" s="10">
        <v>3549</v>
      </c>
      <c r="M178" s="17" t="s">
        <v>77</v>
      </c>
      <c r="N178" s="6">
        <v>2020</v>
      </c>
    </row>
    <row r="179" spans="1:14" x14ac:dyDescent="0.25">
      <c r="A179" s="6">
        <v>178</v>
      </c>
      <c r="B179" s="7">
        <v>44128</v>
      </c>
      <c r="C179" s="8" t="s">
        <v>58</v>
      </c>
      <c r="D179" s="8" t="s">
        <v>14</v>
      </c>
      <c r="E179" s="9" t="s">
        <v>34</v>
      </c>
      <c r="F179" s="8" t="s">
        <v>62</v>
      </c>
      <c r="G179" s="8">
        <v>0</v>
      </c>
      <c r="H179" s="8" t="s">
        <v>24</v>
      </c>
      <c r="I179" s="8" t="s">
        <v>53</v>
      </c>
      <c r="J179" s="8" t="s">
        <v>26</v>
      </c>
      <c r="K179" s="8" t="s">
        <v>27</v>
      </c>
      <c r="L179" s="10">
        <v>2476</v>
      </c>
      <c r="M179" s="17" t="s">
        <v>77</v>
      </c>
      <c r="N179" s="6">
        <v>2020</v>
      </c>
    </row>
    <row r="180" spans="1:14" x14ac:dyDescent="0.25">
      <c r="A180" s="6">
        <v>179</v>
      </c>
      <c r="B180" s="7">
        <v>44130</v>
      </c>
      <c r="C180" s="8" t="s">
        <v>61</v>
      </c>
      <c r="D180" s="8" t="s">
        <v>14</v>
      </c>
      <c r="E180" s="9" t="s">
        <v>22</v>
      </c>
      <c r="F180" s="8" t="s">
        <v>16</v>
      </c>
      <c r="G180" s="8">
        <v>4.5</v>
      </c>
      <c r="H180" s="8" t="s">
        <v>55</v>
      </c>
      <c r="I180" s="8" t="s">
        <v>25</v>
      </c>
      <c r="J180" s="8" t="s">
        <v>46</v>
      </c>
      <c r="K180" s="8" t="s">
        <v>50</v>
      </c>
      <c r="L180" s="10">
        <v>1935</v>
      </c>
      <c r="M180" s="17" t="s">
        <v>77</v>
      </c>
      <c r="N180" s="6">
        <v>2020</v>
      </c>
    </row>
    <row r="181" spans="1:14" x14ac:dyDescent="0.25">
      <c r="A181" s="6">
        <v>180</v>
      </c>
      <c r="B181" s="7">
        <v>44131</v>
      </c>
      <c r="C181" s="8" t="s">
        <v>41</v>
      </c>
      <c r="D181" s="8" t="s">
        <v>14</v>
      </c>
      <c r="E181" s="9" t="s">
        <v>34</v>
      </c>
      <c r="F181" s="8" t="s">
        <v>62</v>
      </c>
      <c r="G181" s="8">
        <v>0</v>
      </c>
      <c r="H181" s="8" t="s">
        <v>37</v>
      </c>
      <c r="I181" s="8" t="s">
        <v>39</v>
      </c>
      <c r="J181" s="8" t="s">
        <v>46</v>
      </c>
      <c r="K181" s="8" t="s">
        <v>54</v>
      </c>
      <c r="L181" s="10">
        <v>143</v>
      </c>
      <c r="M181" s="17" t="s">
        <v>77</v>
      </c>
      <c r="N181" s="6">
        <v>2020</v>
      </c>
    </row>
    <row r="182" spans="1:14" x14ac:dyDescent="0.25">
      <c r="A182" s="6">
        <v>181</v>
      </c>
      <c r="B182" s="7">
        <v>44131</v>
      </c>
      <c r="C182" s="8" t="s">
        <v>13</v>
      </c>
      <c r="D182" s="8" t="s">
        <v>14</v>
      </c>
      <c r="E182" s="9" t="s">
        <v>15</v>
      </c>
      <c r="F182" s="8" t="s">
        <v>36</v>
      </c>
      <c r="G182" s="8">
        <v>3</v>
      </c>
      <c r="H182" s="8" t="s">
        <v>55</v>
      </c>
      <c r="I182" s="8" t="s">
        <v>25</v>
      </c>
      <c r="J182" s="8" t="s">
        <v>19</v>
      </c>
      <c r="K182" s="8" t="s">
        <v>31</v>
      </c>
      <c r="L182" s="10">
        <v>2397</v>
      </c>
      <c r="M182" s="17" t="s">
        <v>77</v>
      </c>
      <c r="N182" s="6">
        <v>2020</v>
      </c>
    </row>
    <row r="183" spans="1:14" x14ac:dyDescent="0.25">
      <c r="A183" s="6">
        <v>182</v>
      </c>
      <c r="B183" s="7">
        <v>44134</v>
      </c>
      <c r="C183" s="8" t="s">
        <v>58</v>
      </c>
      <c r="D183" s="8" t="s">
        <v>14</v>
      </c>
      <c r="E183" s="9" t="s">
        <v>47</v>
      </c>
      <c r="F183" s="8" t="s">
        <v>35</v>
      </c>
      <c r="G183" s="8">
        <v>1.5</v>
      </c>
      <c r="H183" s="8" t="s">
        <v>55</v>
      </c>
      <c r="I183" s="8" t="s">
        <v>25</v>
      </c>
      <c r="J183" s="8" t="s">
        <v>19</v>
      </c>
      <c r="K183" s="8" t="s">
        <v>27</v>
      </c>
      <c r="L183" s="10">
        <v>4618</v>
      </c>
      <c r="M183" s="17" t="s">
        <v>77</v>
      </c>
      <c r="N183" s="6">
        <v>2020</v>
      </c>
    </row>
    <row r="184" spans="1:14" x14ac:dyDescent="0.25">
      <c r="A184" s="6">
        <v>183</v>
      </c>
      <c r="B184" s="7">
        <v>44142</v>
      </c>
      <c r="C184" s="8" t="s">
        <v>13</v>
      </c>
      <c r="D184" s="8" t="s">
        <v>14</v>
      </c>
      <c r="E184" s="9" t="s">
        <v>47</v>
      </c>
      <c r="F184" s="8" t="s">
        <v>16</v>
      </c>
      <c r="G184" s="8">
        <v>0</v>
      </c>
      <c r="H184" s="8" t="s">
        <v>30</v>
      </c>
      <c r="I184" s="8" t="s">
        <v>53</v>
      </c>
      <c r="J184" s="8" t="s">
        <v>26</v>
      </c>
      <c r="K184" s="8" t="s">
        <v>54</v>
      </c>
      <c r="L184" s="10">
        <v>3849</v>
      </c>
      <c r="M184" s="17" t="s">
        <v>78</v>
      </c>
      <c r="N184" s="6">
        <v>2020</v>
      </c>
    </row>
    <row r="185" spans="1:14" x14ac:dyDescent="0.25">
      <c r="A185" s="6">
        <v>184</v>
      </c>
      <c r="B185" s="7">
        <v>44146</v>
      </c>
      <c r="C185" s="8" t="s">
        <v>58</v>
      </c>
      <c r="D185" s="8" t="s">
        <v>14</v>
      </c>
      <c r="E185" s="9" t="s">
        <v>47</v>
      </c>
      <c r="F185" s="8" t="s">
        <v>48</v>
      </c>
      <c r="G185" s="8">
        <v>0</v>
      </c>
      <c r="H185" s="8" t="s">
        <v>60</v>
      </c>
      <c r="I185" s="8" t="s">
        <v>53</v>
      </c>
      <c r="J185" s="8" t="s">
        <v>19</v>
      </c>
      <c r="K185" s="8" t="s">
        <v>54</v>
      </c>
      <c r="L185" s="10">
        <v>588</v>
      </c>
      <c r="M185" s="17" t="s">
        <v>78</v>
      </c>
      <c r="N185" s="6">
        <v>2020</v>
      </c>
    </row>
    <row r="186" spans="1:14" x14ac:dyDescent="0.25">
      <c r="A186" s="6">
        <v>185</v>
      </c>
      <c r="B186" s="7">
        <v>44147</v>
      </c>
      <c r="C186" s="8" t="s">
        <v>51</v>
      </c>
      <c r="D186" s="8" t="s">
        <v>14</v>
      </c>
      <c r="E186" s="9" t="s">
        <v>34</v>
      </c>
      <c r="F186" s="8" t="s">
        <v>29</v>
      </c>
      <c r="G186" s="8">
        <v>0</v>
      </c>
      <c r="H186" s="8" t="s">
        <v>55</v>
      </c>
      <c r="I186" s="8" t="s">
        <v>18</v>
      </c>
      <c r="J186" s="8" t="s">
        <v>19</v>
      </c>
      <c r="K186" s="8" t="s">
        <v>54</v>
      </c>
      <c r="L186" s="10">
        <v>0</v>
      </c>
      <c r="M186" s="17" t="s">
        <v>78</v>
      </c>
      <c r="N186" s="6">
        <v>2020</v>
      </c>
    </row>
    <row r="187" spans="1:14" x14ac:dyDescent="0.25">
      <c r="A187" s="6">
        <v>186</v>
      </c>
      <c r="B187" s="7">
        <v>44150</v>
      </c>
      <c r="C187" s="8" t="s">
        <v>65</v>
      </c>
      <c r="D187" s="8" t="s">
        <v>14</v>
      </c>
      <c r="E187" s="9" t="s">
        <v>47</v>
      </c>
      <c r="F187" s="8" t="s">
        <v>62</v>
      </c>
      <c r="G187" s="8">
        <v>4.5</v>
      </c>
      <c r="H187" s="8" t="s">
        <v>55</v>
      </c>
      <c r="I187" s="8" t="s">
        <v>25</v>
      </c>
      <c r="J187" s="8" t="s">
        <v>46</v>
      </c>
      <c r="K187" s="8" t="s">
        <v>27</v>
      </c>
      <c r="L187" s="10">
        <v>4411</v>
      </c>
      <c r="M187" s="17" t="s">
        <v>78</v>
      </c>
      <c r="N187" s="6">
        <v>2020</v>
      </c>
    </row>
    <row r="188" spans="1:14" x14ac:dyDescent="0.25">
      <c r="A188" s="6">
        <v>187</v>
      </c>
      <c r="B188" s="7">
        <v>44151</v>
      </c>
      <c r="C188" s="8" t="s">
        <v>41</v>
      </c>
      <c r="D188" s="8" t="s">
        <v>14</v>
      </c>
      <c r="E188" s="9" t="s">
        <v>47</v>
      </c>
      <c r="F188" s="8" t="s">
        <v>63</v>
      </c>
      <c r="G188" s="8">
        <v>0</v>
      </c>
      <c r="H188" s="8" t="s">
        <v>55</v>
      </c>
      <c r="I188" s="8" t="s">
        <v>18</v>
      </c>
      <c r="J188" s="8" t="s">
        <v>26</v>
      </c>
      <c r="K188" s="8" t="s">
        <v>20</v>
      </c>
      <c r="L188" s="10">
        <v>0</v>
      </c>
      <c r="M188" s="17" t="s">
        <v>78</v>
      </c>
      <c r="N188" s="6">
        <v>2020</v>
      </c>
    </row>
    <row r="189" spans="1:14" x14ac:dyDescent="0.25">
      <c r="A189" s="6">
        <v>188</v>
      </c>
      <c r="B189" s="7">
        <v>44153</v>
      </c>
      <c r="C189" s="8" t="s">
        <v>13</v>
      </c>
      <c r="D189" s="8" t="s">
        <v>14</v>
      </c>
      <c r="E189" s="9" t="s">
        <v>34</v>
      </c>
      <c r="F189" s="8" t="s">
        <v>23</v>
      </c>
      <c r="G189" s="8">
        <v>0</v>
      </c>
      <c r="H189" s="8" t="s">
        <v>45</v>
      </c>
      <c r="I189" s="8" t="s">
        <v>18</v>
      </c>
      <c r="J189" s="8" t="s">
        <v>26</v>
      </c>
      <c r="K189" s="8" t="s">
        <v>50</v>
      </c>
      <c r="L189" s="10">
        <v>0</v>
      </c>
      <c r="M189" s="17" t="s">
        <v>78</v>
      </c>
      <c r="N189" s="6">
        <v>2020</v>
      </c>
    </row>
    <row r="190" spans="1:14" x14ac:dyDescent="0.25">
      <c r="A190" s="6">
        <v>189</v>
      </c>
      <c r="B190" s="7">
        <v>44154</v>
      </c>
      <c r="C190" s="8" t="s">
        <v>32</v>
      </c>
      <c r="D190" s="8" t="s">
        <v>14</v>
      </c>
      <c r="E190" s="9" t="s">
        <v>34</v>
      </c>
      <c r="F190" s="8" t="s">
        <v>48</v>
      </c>
      <c r="G190" s="8">
        <v>0</v>
      </c>
      <c r="H190" s="8" t="s">
        <v>55</v>
      </c>
      <c r="I190" s="8" t="s">
        <v>39</v>
      </c>
      <c r="J190" s="8" t="s">
        <v>19</v>
      </c>
      <c r="K190" s="8" t="s">
        <v>52</v>
      </c>
      <c r="L190" s="10">
        <v>282</v>
      </c>
      <c r="M190" s="17" t="s">
        <v>78</v>
      </c>
      <c r="N190" s="6">
        <v>2020</v>
      </c>
    </row>
    <row r="191" spans="1:14" x14ac:dyDescent="0.25">
      <c r="A191" s="6">
        <v>190</v>
      </c>
      <c r="B191" s="7">
        <v>44155</v>
      </c>
      <c r="C191" s="8" t="s">
        <v>56</v>
      </c>
      <c r="D191" s="8" t="s">
        <v>33</v>
      </c>
      <c r="E191" s="9" t="s">
        <v>34</v>
      </c>
      <c r="F191" s="8" t="s">
        <v>16</v>
      </c>
      <c r="G191" s="8">
        <v>0</v>
      </c>
      <c r="H191" s="8" t="s">
        <v>45</v>
      </c>
      <c r="I191" s="8" t="s">
        <v>39</v>
      </c>
      <c r="J191" s="8" t="s">
        <v>46</v>
      </c>
      <c r="K191" s="8" t="s">
        <v>54</v>
      </c>
      <c r="L191" s="10">
        <v>244</v>
      </c>
      <c r="M191" s="17" t="s">
        <v>78</v>
      </c>
      <c r="N191" s="6">
        <v>2020</v>
      </c>
    </row>
    <row r="192" spans="1:14" x14ac:dyDescent="0.25">
      <c r="A192" s="6">
        <v>191</v>
      </c>
      <c r="B192" s="7">
        <v>44157</v>
      </c>
      <c r="C192" s="8" t="s">
        <v>13</v>
      </c>
      <c r="D192" s="8" t="s">
        <v>14</v>
      </c>
      <c r="E192" s="9" t="s">
        <v>47</v>
      </c>
      <c r="F192" s="8" t="s">
        <v>63</v>
      </c>
      <c r="G192" s="8">
        <v>0</v>
      </c>
      <c r="H192" s="8" t="s">
        <v>37</v>
      </c>
      <c r="I192" s="8" t="s">
        <v>39</v>
      </c>
      <c r="J192" s="8" t="s">
        <v>26</v>
      </c>
      <c r="K192" s="8" t="s">
        <v>20</v>
      </c>
      <c r="L192" s="10">
        <v>278</v>
      </c>
      <c r="M192" s="17" t="s">
        <v>78</v>
      </c>
      <c r="N192" s="6">
        <v>2020</v>
      </c>
    </row>
    <row r="193" spans="1:14" x14ac:dyDescent="0.25">
      <c r="A193" s="6">
        <v>192</v>
      </c>
      <c r="B193" s="7">
        <v>44157</v>
      </c>
      <c r="C193" s="8" t="s">
        <v>64</v>
      </c>
      <c r="D193" s="8" t="s">
        <v>33</v>
      </c>
      <c r="E193" s="9" t="s">
        <v>34</v>
      </c>
      <c r="F193" s="8" t="s">
        <v>35</v>
      </c>
      <c r="G193" s="8">
        <v>5</v>
      </c>
      <c r="H193" s="8" t="s">
        <v>45</v>
      </c>
      <c r="I193" s="8" t="s">
        <v>25</v>
      </c>
      <c r="J193" s="8" t="s">
        <v>26</v>
      </c>
      <c r="K193" s="8" t="s">
        <v>27</v>
      </c>
      <c r="L193" s="10">
        <v>4879</v>
      </c>
      <c r="M193" s="17" t="s">
        <v>78</v>
      </c>
      <c r="N193" s="6">
        <v>2020</v>
      </c>
    </row>
    <row r="194" spans="1:14" x14ac:dyDescent="0.25">
      <c r="A194" s="6">
        <v>193</v>
      </c>
      <c r="B194" s="7">
        <v>44159</v>
      </c>
      <c r="C194" s="8" t="s">
        <v>56</v>
      </c>
      <c r="D194" s="8" t="s">
        <v>33</v>
      </c>
      <c r="E194" s="9" t="s">
        <v>15</v>
      </c>
      <c r="F194" s="8" t="s">
        <v>36</v>
      </c>
      <c r="G194" s="8">
        <v>0</v>
      </c>
      <c r="H194" s="8" t="s">
        <v>60</v>
      </c>
      <c r="I194" s="8" t="s">
        <v>39</v>
      </c>
      <c r="J194" s="8" t="s">
        <v>46</v>
      </c>
      <c r="K194" s="8" t="s">
        <v>50</v>
      </c>
      <c r="L194" s="10">
        <v>414</v>
      </c>
      <c r="M194" s="17" t="s">
        <v>78</v>
      </c>
      <c r="N194" s="6">
        <v>2020</v>
      </c>
    </row>
    <row r="195" spans="1:14" x14ac:dyDescent="0.25">
      <c r="A195" s="6">
        <v>194</v>
      </c>
      <c r="B195" s="7">
        <v>44160</v>
      </c>
      <c r="C195" s="8" t="s">
        <v>64</v>
      </c>
      <c r="D195" s="8" t="s">
        <v>33</v>
      </c>
      <c r="E195" s="9" t="s">
        <v>34</v>
      </c>
      <c r="F195" s="8" t="s">
        <v>16</v>
      </c>
      <c r="G195" s="8">
        <v>5</v>
      </c>
      <c r="H195" s="8" t="s">
        <v>57</v>
      </c>
      <c r="I195" s="8" t="s">
        <v>25</v>
      </c>
      <c r="J195" s="8" t="s">
        <v>26</v>
      </c>
      <c r="K195" s="8" t="s">
        <v>52</v>
      </c>
      <c r="L195" s="10">
        <v>2569</v>
      </c>
      <c r="M195" s="17" t="s">
        <v>78</v>
      </c>
      <c r="N195" s="6">
        <v>2020</v>
      </c>
    </row>
    <row r="196" spans="1:14" x14ac:dyDescent="0.25">
      <c r="A196" s="6">
        <v>195</v>
      </c>
      <c r="B196" s="7">
        <v>44164</v>
      </c>
      <c r="C196" s="8" t="s">
        <v>64</v>
      </c>
      <c r="D196" s="8" t="s">
        <v>14</v>
      </c>
      <c r="E196" s="9" t="s">
        <v>47</v>
      </c>
      <c r="F196" s="8" t="s">
        <v>29</v>
      </c>
      <c r="G196" s="8">
        <v>0</v>
      </c>
      <c r="H196" s="8" t="s">
        <v>57</v>
      </c>
      <c r="I196" s="8" t="s">
        <v>18</v>
      </c>
      <c r="J196" s="8" t="s">
        <v>26</v>
      </c>
      <c r="K196" s="8" t="s">
        <v>40</v>
      </c>
      <c r="L196" s="10">
        <v>0</v>
      </c>
      <c r="M196" s="17" t="s">
        <v>78</v>
      </c>
      <c r="N196" s="6">
        <v>2020</v>
      </c>
    </row>
    <row r="197" spans="1:14" x14ac:dyDescent="0.25">
      <c r="A197" s="6">
        <v>196</v>
      </c>
      <c r="B197" s="7">
        <v>44165</v>
      </c>
      <c r="C197" s="8" t="s">
        <v>61</v>
      </c>
      <c r="D197" s="8" t="s">
        <v>14</v>
      </c>
      <c r="E197" s="9" t="s">
        <v>22</v>
      </c>
      <c r="F197" s="8" t="s">
        <v>23</v>
      </c>
      <c r="G197" s="8">
        <v>0</v>
      </c>
      <c r="H197" s="8" t="s">
        <v>49</v>
      </c>
      <c r="I197" s="8" t="s">
        <v>53</v>
      </c>
      <c r="J197" s="8" t="s">
        <v>26</v>
      </c>
      <c r="K197" s="8" t="s">
        <v>20</v>
      </c>
      <c r="L197" s="10">
        <v>4685</v>
      </c>
      <c r="M197" s="17" t="s">
        <v>78</v>
      </c>
      <c r="N197" s="6">
        <v>2020</v>
      </c>
    </row>
    <row r="198" spans="1:14" x14ac:dyDescent="0.25">
      <c r="A198" s="6">
        <v>197</v>
      </c>
      <c r="B198" s="7">
        <v>44165</v>
      </c>
      <c r="C198" s="8" t="s">
        <v>21</v>
      </c>
      <c r="D198" s="8" t="s">
        <v>14</v>
      </c>
      <c r="E198" s="9" t="s">
        <v>34</v>
      </c>
      <c r="F198" s="8" t="s">
        <v>16</v>
      </c>
      <c r="G198" s="8">
        <v>0</v>
      </c>
      <c r="H198" s="8" t="s">
        <v>17</v>
      </c>
      <c r="I198" s="8" t="s">
        <v>53</v>
      </c>
      <c r="J198" s="8" t="s">
        <v>26</v>
      </c>
      <c r="K198" s="8" t="s">
        <v>59</v>
      </c>
      <c r="L198" s="10">
        <v>1222</v>
      </c>
      <c r="M198" s="17" t="s">
        <v>78</v>
      </c>
      <c r="N198" s="6">
        <v>2020</v>
      </c>
    </row>
    <row r="199" spans="1:14" x14ac:dyDescent="0.25">
      <c r="A199" s="6">
        <v>198</v>
      </c>
      <c r="B199" s="7">
        <v>44166</v>
      </c>
      <c r="C199" s="8" t="s">
        <v>32</v>
      </c>
      <c r="D199" s="8" t="s">
        <v>14</v>
      </c>
      <c r="E199" s="9" t="s">
        <v>15</v>
      </c>
      <c r="F199" s="8" t="s">
        <v>63</v>
      </c>
      <c r="G199" s="8">
        <v>3.5</v>
      </c>
      <c r="H199" s="8" t="s">
        <v>37</v>
      </c>
      <c r="I199" s="8" t="s">
        <v>25</v>
      </c>
      <c r="J199" s="8" t="s">
        <v>46</v>
      </c>
      <c r="K199" s="8" t="s">
        <v>52</v>
      </c>
      <c r="L199" s="10">
        <v>1806</v>
      </c>
      <c r="M199" s="17" t="s">
        <v>79</v>
      </c>
      <c r="N199" s="6">
        <v>2020</v>
      </c>
    </row>
    <row r="200" spans="1:14" x14ac:dyDescent="0.25">
      <c r="A200" s="6">
        <v>199</v>
      </c>
      <c r="B200" s="7">
        <v>44168</v>
      </c>
      <c r="C200" s="8" t="s">
        <v>61</v>
      </c>
      <c r="D200" s="8" t="s">
        <v>14</v>
      </c>
      <c r="E200" s="9" t="s">
        <v>34</v>
      </c>
      <c r="F200" s="8" t="s">
        <v>62</v>
      </c>
      <c r="G200" s="8">
        <v>0</v>
      </c>
      <c r="H200" s="8" t="s">
        <v>45</v>
      </c>
      <c r="I200" s="8" t="s">
        <v>18</v>
      </c>
      <c r="J200" s="8" t="s">
        <v>26</v>
      </c>
      <c r="K200" s="8" t="s">
        <v>43</v>
      </c>
      <c r="L200" s="10">
        <v>0</v>
      </c>
      <c r="M200" s="17" t="s">
        <v>79</v>
      </c>
      <c r="N200" s="6">
        <v>2020</v>
      </c>
    </row>
    <row r="201" spans="1:14" x14ac:dyDescent="0.25">
      <c r="A201" s="6">
        <v>200</v>
      </c>
      <c r="B201" s="7">
        <v>44169</v>
      </c>
      <c r="C201" s="8" t="s">
        <v>51</v>
      </c>
      <c r="D201" s="8" t="s">
        <v>33</v>
      </c>
      <c r="E201" s="9" t="s">
        <v>47</v>
      </c>
      <c r="F201" s="8" t="s">
        <v>16</v>
      </c>
      <c r="G201" s="8">
        <v>1</v>
      </c>
      <c r="H201" s="8" t="s">
        <v>30</v>
      </c>
      <c r="I201" s="8" t="s">
        <v>25</v>
      </c>
      <c r="J201" s="8" t="s">
        <v>19</v>
      </c>
      <c r="K201" s="8" t="s">
        <v>50</v>
      </c>
      <c r="L201" s="10">
        <v>2877</v>
      </c>
      <c r="M201" s="17" t="s">
        <v>79</v>
      </c>
      <c r="N201" s="6">
        <v>2020</v>
      </c>
    </row>
    <row r="202" spans="1:14" x14ac:dyDescent="0.25">
      <c r="A202" s="6">
        <v>201</v>
      </c>
      <c r="B202" s="7">
        <v>44169</v>
      </c>
      <c r="C202" s="8" t="s">
        <v>21</v>
      </c>
      <c r="D202" s="8" t="s">
        <v>14</v>
      </c>
      <c r="E202" s="9" t="s">
        <v>34</v>
      </c>
      <c r="F202" s="8" t="s">
        <v>29</v>
      </c>
      <c r="G202" s="8">
        <v>0</v>
      </c>
      <c r="H202" s="8" t="s">
        <v>37</v>
      </c>
      <c r="I202" s="8" t="s">
        <v>53</v>
      </c>
      <c r="J202" s="8" t="s">
        <v>19</v>
      </c>
      <c r="K202" s="8" t="s">
        <v>50</v>
      </c>
      <c r="L202" s="10">
        <v>1710</v>
      </c>
      <c r="M202" s="17" t="s">
        <v>79</v>
      </c>
      <c r="N202" s="6">
        <v>2020</v>
      </c>
    </row>
    <row r="203" spans="1:14" x14ac:dyDescent="0.25">
      <c r="A203" s="6">
        <v>202</v>
      </c>
      <c r="B203" s="7">
        <v>44169</v>
      </c>
      <c r="C203" s="8" t="s">
        <v>58</v>
      </c>
      <c r="D203" s="8" t="s">
        <v>14</v>
      </c>
      <c r="E203" s="9" t="s">
        <v>22</v>
      </c>
      <c r="F203" s="8" t="s">
        <v>48</v>
      </c>
      <c r="G203" s="8">
        <v>0</v>
      </c>
      <c r="H203" s="8" t="s">
        <v>55</v>
      </c>
      <c r="I203" s="8" t="s">
        <v>18</v>
      </c>
      <c r="J203" s="8" t="s">
        <v>19</v>
      </c>
      <c r="K203" s="8" t="s">
        <v>27</v>
      </c>
      <c r="L203" s="10">
        <v>0</v>
      </c>
      <c r="M203" s="17" t="s">
        <v>79</v>
      </c>
      <c r="N203" s="6">
        <v>2020</v>
      </c>
    </row>
    <row r="204" spans="1:14" x14ac:dyDescent="0.25">
      <c r="A204" s="6">
        <v>203</v>
      </c>
      <c r="B204" s="7">
        <v>44171</v>
      </c>
      <c r="C204" s="8" t="s">
        <v>44</v>
      </c>
      <c r="D204" s="8" t="s">
        <v>14</v>
      </c>
      <c r="E204" s="9" t="s">
        <v>42</v>
      </c>
      <c r="F204" s="8" t="s">
        <v>35</v>
      </c>
      <c r="G204" s="8">
        <v>2.5</v>
      </c>
      <c r="H204" s="8" t="s">
        <v>45</v>
      </c>
      <c r="I204" s="8" t="s">
        <v>25</v>
      </c>
      <c r="J204" s="8" t="s">
        <v>19</v>
      </c>
      <c r="K204" s="8" t="s">
        <v>52</v>
      </c>
      <c r="L204" s="10">
        <v>903</v>
      </c>
      <c r="M204" s="17" t="s">
        <v>79</v>
      </c>
      <c r="N204" s="6">
        <v>2020</v>
      </c>
    </row>
    <row r="205" spans="1:14" x14ac:dyDescent="0.25">
      <c r="A205" s="6">
        <v>204</v>
      </c>
      <c r="B205" s="7">
        <v>44173</v>
      </c>
      <c r="C205" s="8" t="s">
        <v>28</v>
      </c>
      <c r="D205" s="8" t="s">
        <v>14</v>
      </c>
      <c r="E205" s="9" t="s">
        <v>34</v>
      </c>
      <c r="F205" s="8" t="s">
        <v>16</v>
      </c>
      <c r="G205" s="8">
        <v>0</v>
      </c>
      <c r="H205" s="8" t="s">
        <v>49</v>
      </c>
      <c r="I205" s="8" t="s">
        <v>39</v>
      </c>
      <c r="J205" s="8" t="s">
        <v>19</v>
      </c>
      <c r="K205" s="8" t="s">
        <v>20</v>
      </c>
      <c r="L205" s="10">
        <v>115</v>
      </c>
      <c r="M205" s="17" t="s">
        <v>79</v>
      </c>
      <c r="N205" s="6">
        <v>2020</v>
      </c>
    </row>
    <row r="206" spans="1:14" x14ac:dyDescent="0.25">
      <c r="A206" s="6">
        <v>205</v>
      </c>
      <c r="B206" s="7">
        <v>44173</v>
      </c>
      <c r="C206" s="8" t="s">
        <v>44</v>
      </c>
      <c r="D206" s="8" t="s">
        <v>14</v>
      </c>
      <c r="E206" s="9" t="s">
        <v>47</v>
      </c>
      <c r="F206" s="8" t="s">
        <v>62</v>
      </c>
      <c r="G206" s="8">
        <v>0</v>
      </c>
      <c r="H206" s="8" t="s">
        <v>30</v>
      </c>
      <c r="I206" s="8" t="s">
        <v>53</v>
      </c>
      <c r="J206" s="8" t="s">
        <v>26</v>
      </c>
      <c r="K206" s="8" t="s">
        <v>52</v>
      </c>
      <c r="L206" s="10">
        <v>1168</v>
      </c>
      <c r="M206" s="17" t="s">
        <v>79</v>
      </c>
      <c r="N206" s="6">
        <v>2020</v>
      </c>
    </row>
    <row r="207" spans="1:14" x14ac:dyDescent="0.25">
      <c r="A207" s="6">
        <v>206</v>
      </c>
      <c r="B207" s="7">
        <v>44174</v>
      </c>
      <c r="C207" s="8" t="s">
        <v>56</v>
      </c>
      <c r="D207" s="8" t="s">
        <v>14</v>
      </c>
      <c r="E207" s="9" t="s">
        <v>34</v>
      </c>
      <c r="F207" s="8" t="s">
        <v>62</v>
      </c>
      <c r="G207" s="8">
        <v>5</v>
      </c>
      <c r="H207" s="8" t="s">
        <v>55</v>
      </c>
      <c r="I207" s="8" t="s">
        <v>25</v>
      </c>
      <c r="J207" s="8" t="s">
        <v>46</v>
      </c>
      <c r="K207" s="8" t="s">
        <v>59</v>
      </c>
      <c r="L207" s="10">
        <v>2479</v>
      </c>
      <c r="M207" s="17" t="s">
        <v>79</v>
      </c>
      <c r="N207" s="6">
        <v>2020</v>
      </c>
    </row>
    <row r="208" spans="1:14" x14ac:dyDescent="0.25">
      <c r="A208" s="6">
        <v>207</v>
      </c>
      <c r="B208" s="7">
        <v>44175</v>
      </c>
      <c r="C208" s="8" t="s">
        <v>13</v>
      </c>
      <c r="D208" s="8" t="s">
        <v>14</v>
      </c>
      <c r="E208" s="9" t="s">
        <v>15</v>
      </c>
      <c r="F208" s="8" t="s">
        <v>48</v>
      </c>
      <c r="G208" s="8">
        <v>0</v>
      </c>
      <c r="H208" s="8" t="s">
        <v>37</v>
      </c>
      <c r="I208" s="8" t="s">
        <v>18</v>
      </c>
      <c r="J208" s="8" t="s">
        <v>26</v>
      </c>
      <c r="K208" s="8" t="s">
        <v>20</v>
      </c>
      <c r="L208" s="10">
        <v>0</v>
      </c>
      <c r="M208" s="17" t="s">
        <v>79</v>
      </c>
      <c r="N208" s="6">
        <v>2020</v>
      </c>
    </row>
    <row r="209" spans="1:14" x14ac:dyDescent="0.25">
      <c r="A209" s="6">
        <v>208</v>
      </c>
      <c r="B209" s="7">
        <v>44176</v>
      </c>
      <c r="C209" s="8" t="s">
        <v>61</v>
      </c>
      <c r="D209" s="8" t="s">
        <v>14</v>
      </c>
      <c r="E209" s="9" t="s">
        <v>15</v>
      </c>
      <c r="F209" s="8" t="s">
        <v>63</v>
      </c>
      <c r="G209" s="8">
        <v>0</v>
      </c>
      <c r="H209" s="8" t="s">
        <v>49</v>
      </c>
      <c r="I209" s="8" t="s">
        <v>39</v>
      </c>
      <c r="J209" s="8" t="s">
        <v>19</v>
      </c>
      <c r="K209" s="8" t="s">
        <v>52</v>
      </c>
      <c r="L209" s="10">
        <v>361</v>
      </c>
      <c r="M209" s="17" t="s">
        <v>79</v>
      </c>
      <c r="N209" s="6">
        <v>2020</v>
      </c>
    </row>
    <row r="210" spans="1:14" x14ac:dyDescent="0.25">
      <c r="A210" s="6">
        <v>209</v>
      </c>
      <c r="B210" s="7">
        <v>44177</v>
      </c>
      <c r="C210" s="8" t="s">
        <v>64</v>
      </c>
      <c r="D210" s="8" t="s">
        <v>14</v>
      </c>
      <c r="E210" s="9" t="s">
        <v>22</v>
      </c>
      <c r="F210" s="8" t="s">
        <v>62</v>
      </c>
      <c r="G210" s="8">
        <v>0</v>
      </c>
      <c r="H210" s="8" t="s">
        <v>17</v>
      </c>
      <c r="I210" s="8" t="s">
        <v>53</v>
      </c>
      <c r="J210" s="8" t="s">
        <v>19</v>
      </c>
      <c r="K210" s="8" t="s">
        <v>50</v>
      </c>
      <c r="L210" s="10">
        <v>4176</v>
      </c>
      <c r="M210" s="17" t="s">
        <v>79</v>
      </c>
      <c r="N210" s="6">
        <v>2020</v>
      </c>
    </row>
    <row r="211" spans="1:14" x14ac:dyDescent="0.25">
      <c r="A211" s="6">
        <v>210</v>
      </c>
      <c r="B211" s="7">
        <v>44181</v>
      </c>
      <c r="C211" s="8" t="s">
        <v>44</v>
      </c>
      <c r="D211" s="8" t="s">
        <v>14</v>
      </c>
      <c r="E211" s="9" t="s">
        <v>34</v>
      </c>
      <c r="F211" s="8" t="s">
        <v>16</v>
      </c>
      <c r="G211" s="8">
        <v>3</v>
      </c>
      <c r="H211" s="8" t="s">
        <v>57</v>
      </c>
      <c r="I211" s="8" t="s">
        <v>25</v>
      </c>
      <c r="J211" s="8" t="s">
        <v>19</v>
      </c>
      <c r="K211" s="8" t="s">
        <v>40</v>
      </c>
      <c r="L211" s="10">
        <v>3846</v>
      </c>
      <c r="M211" s="17" t="s">
        <v>79</v>
      </c>
      <c r="N211" s="6">
        <v>2020</v>
      </c>
    </row>
    <row r="212" spans="1:14" x14ac:dyDescent="0.25">
      <c r="A212" s="6">
        <v>211</v>
      </c>
      <c r="B212" s="7">
        <v>44183</v>
      </c>
      <c r="C212" s="8" t="s">
        <v>64</v>
      </c>
      <c r="D212" s="8" t="s">
        <v>14</v>
      </c>
      <c r="E212" s="9" t="s">
        <v>15</v>
      </c>
      <c r="F212" s="8" t="s">
        <v>38</v>
      </c>
      <c r="G212" s="8">
        <v>0</v>
      </c>
      <c r="H212" s="8" t="s">
        <v>24</v>
      </c>
      <c r="I212" s="8" t="s">
        <v>53</v>
      </c>
      <c r="J212" s="8" t="s">
        <v>19</v>
      </c>
      <c r="K212" s="8" t="s">
        <v>59</v>
      </c>
      <c r="L212" s="10">
        <v>4288</v>
      </c>
      <c r="M212" s="17" t="s">
        <v>79</v>
      </c>
      <c r="N212" s="6">
        <v>2020</v>
      </c>
    </row>
    <row r="213" spans="1:14" x14ac:dyDescent="0.25">
      <c r="A213" s="6">
        <v>212</v>
      </c>
      <c r="B213" s="7">
        <v>44188</v>
      </c>
      <c r="C213" s="8" t="s">
        <v>56</v>
      </c>
      <c r="D213" s="8" t="s">
        <v>14</v>
      </c>
      <c r="E213" s="9" t="s">
        <v>34</v>
      </c>
      <c r="F213" s="8" t="s">
        <v>48</v>
      </c>
      <c r="G213" s="8">
        <v>2.5</v>
      </c>
      <c r="H213" s="8" t="s">
        <v>60</v>
      </c>
      <c r="I213" s="8" t="s">
        <v>25</v>
      </c>
      <c r="J213" s="8" t="s">
        <v>46</v>
      </c>
      <c r="K213" s="8" t="s">
        <v>40</v>
      </c>
      <c r="L213" s="10">
        <v>3734</v>
      </c>
      <c r="M213" s="17" t="s">
        <v>79</v>
      </c>
      <c r="N213" s="6">
        <v>2020</v>
      </c>
    </row>
    <row r="214" spans="1:14" x14ac:dyDescent="0.25">
      <c r="A214" s="6">
        <v>213</v>
      </c>
      <c r="B214" s="7">
        <v>44188</v>
      </c>
      <c r="C214" s="8" t="s">
        <v>13</v>
      </c>
      <c r="D214" s="8" t="s">
        <v>14</v>
      </c>
      <c r="E214" s="9" t="s">
        <v>47</v>
      </c>
      <c r="F214" s="8" t="s">
        <v>35</v>
      </c>
      <c r="G214" s="8">
        <v>0</v>
      </c>
      <c r="H214" s="8" t="s">
        <v>37</v>
      </c>
      <c r="I214" s="8" t="s">
        <v>18</v>
      </c>
      <c r="J214" s="8" t="s">
        <v>19</v>
      </c>
      <c r="K214" s="8" t="s">
        <v>20</v>
      </c>
      <c r="L214" s="10">
        <v>0</v>
      </c>
      <c r="M214" s="17" t="s">
        <v>79</v>
      </c>
      <c r="N214" s="6">
        <v>2020</v>
      </c>
    </row>
    <row r="215" spans="1:14" x14ac:dyDescent="0.25">
      <c r="A215" s="6">
        <v>214</v>
      </c>
      <c r="B215" s="7">
        <v>44189</v>
      </c>
      <c r="C215" s="8" t="s">
        <v>58</v>
      </c>
      <c r="D215" s="8" t="s">
        <v>14</v>
      </c>
      <c r="E215" s="9" t="s">
        <v>15</v>
      </c>
      <c r="F215" s="8" t="s">
        <v>48</v>
      </c>
      <c r="G215" s="8">
        <v>0</v>
      </c>
      <c r="H215" s="8" t="s">
        <v>60</v>
      </c>
      <c r="I215" s="8" t="s">
        <v>18</v>
      </c>
      <c r="J215" s="8" t="s">
        <v>46</v>
      </c>
      <c r="K215" s="8" t="s">
        <v>54</v>
      </c>
      <c r="L215" s="10">
        <v>0</v>
      </c>
      <c r="M215" s="17" t="s">
        <v>79</v>
      </c>
      <c r="N215" s="6">
        <v>2020</v>
      </c>
    </row>
    <row r="216" spans="1:14" x14ac:dyDescent="0.25">
      <c r="A216" s="6">
        <v>215</v>
      </c>
      <c r="B216" s="7">
        <v>44190</v>
      </c>
      <c r="C216" s="8" t="s">
        <v>56</v>
      </c>
      <c r="D216" s="8" t="s">
        <v>14</v>
      </c>
      <c r="E216" s="9" t="s">
        <v>22</v>
      </c>
      <c r="F216" s="8" t="s">
        <v>29</v>
      </c>
      <c r="G216" s="8">
        <v>2.5</v>
      </c>
      <c r="H216" s="8" t="s">
        <v>60</v>
      </c>
      <c r="I216" s="8" t="s">
        <v>25</v>
      </c>
      <c r="J216" s="8" t="s">
        <v>19</v>
      </c>
      <c r="K216" s="8" t="s">
        <v>27</v>
      </c>
      <c r="L216" s="10">
        <v>1486</v>
      </c>
      <c r="M216" s="17" t="s">
        <v>79</v>
      </c>
      <c r="N216" s="6">
        <v>2020</v>
      </c>
    </row>
    <row r="217" spans="1:14" x14ac:dyDescent="0.25">
      <c r="A217" s="6">
        <v>216</v>
      </c>
      <c r="B217" s="7">
        <v>44190</v>
      </c>
      <c r="C217" s="8" t="s">
        <v>32</v>
      </c>
      <c r="D217" s="8" t="s">
        <v>14</v>
      </c>
      <c r="E217" s="9" t="s">
        <v>22</v>
      </c>
      <c r="F217" s="8" t="s">
        <v>48</v>
      </c>
      <c r="G217" s="8">
        <v>0</v>
      </c>
      <c r="H217" s="8" t="s">
        <v>24</v>
      </c>
      <c r="I217" s="8" t="s">
        <v>18</v>
      </c>
      <c r="J217" s="8" t="s">
        <v>46</v>
      </c>
      <c r="K217" s="8" t="s">
        <v>40</v>
      </c>
      <c r="L217" s="10">
        <v>0</v>
      </c>
      <c r="M217" s="17" t="s">
        <v>79</v>
      </c>
      <c r="N217" s="6">
        <v>2020</v>
      </c>
    </row>
    <row r="218" spans="1:14" x14ac:dyDescent="0.25">
      <c r="A218" s="6">
        <v>217</v>
      </c>
      <c r="B218" s="7">
        <v>44192</v>
      </c>
      <c r="C218" s="8" t="s">
        <v>28</v>
      </c>
      <c r="D218" s="8" t="s">
        <v>14</v>
      </c>
      <c r="E218" s="9" t="s">
        <v>22</v>
      </c>
      <c r="F218" s="8" t="s">
        <v>35</v>
      </c>
      <c r="G218" s="8">
        <v>0</v>
      </c>
      <c r="H218" s="8" t="s">
        <v>30</v>
      </c>
      <c r="I218" s="8" t="s">
        <v>53</v>
      </c>
      <c r="J218" s="8" t="s">
        <v>26</v>
      </c>
      <c r="K218" s="8" t="s">
        <v>40</v>
      </c>
      <c r="L218" s="10">
        <v>733</v>
      </c>
      <c r="M218" s="17" t="s">
        <v>79</v>
      </c>
      <c r="N218" s="6">
        <v>2020</v>
      </c>
    </row>
    <row r="219" spans="1:14" x14ac:dyDescent="0.25">
      <c r="A219" s="6">
        <v>218</v>
      </c>
      <c r="B219" s="7">
        <v>44192</v>
      </c>
      <c r="C219" s="8" t="s">
        <v>32</v>
      </c>
      <c r="D219" s="8" t="s">
        <v>14</v>
      </c>
      <c r="E219" s="9" t="s">
        <v>15</v>
      </c>
      <c r="F219" s="8" t="s">
        <v>16</v>
      </c>
      <c r="G219" s="8">
        <v>0</v>
      </c>
      <c r="H219" s="8" t="s">
        <v>60</v>
      </c>
      <c r="I219" s="8" t="s">
        <v>39</v>
      </c>
      <c r="J219" s="8" t="s">
        <v>26</v>
      </c>
      <c r="K219" s="8" t="s">
        <v>40</v>
      </c>
      <c r="L219" s="10">
        <v>265</v>
      </c>
      <c r="M219" s="17" t="s">
        <v>79</v>
      </c>
      <c r="N219" s="6">
        <v>2020</v>
      </c>
    </row>
    <row r="220" spans="1:14" x14ac:dyDescent="0.25">
      <c r="A220" s="6">
        <v>219</v>
      </c>
      <c r="B220" s="7">
        <v>44195</v>
      </c>
      <c r="C220" s="8" t="s">
        <v>65</v>
      </c>
      <c r="D220" s="8" t="s">
        <v>14</v>
      </c>
      <c r="E220" s="9" t="s">
        <v>15</v>
      </c>
      <c r="F220" s="8" t="s">
        <v>16</v>
      </c>
      <c r="G220" s="8">
        <v>0</v>
      </c>
      <c r="H220" s="8" t="s">
        <v>37</v>
      </c>
      <c r="I220" s="8" t="s">
        <v>53</v>
      </c>
      <c r="J220" s="8" t="s">
        <v>19</v>
      </c>
      <c r="K220" s="8" t="s">
        <v>43</v>
      </c>
      <c r="L220" s="10">
        <v>5000</v>
      </c>
      <c r="M220" s="17" t="s">
        <v>79</v>
      </c>
      <c r="N220" s="6">
        <v>2020</v>
      </c>
    </row>
    <row r="221" spans="1:14" x14ac:dyDescent="0.25">
      <c r="A221" s="6">
        <v>220</v>
      </c>
      <c r="B221" s="7">
        <v>44195</v>
      </c>
      <c r="C221" s="8" t="s">
        <v>65</v>
      </c>
      <c r="D221" s="8" t="s">
        <v>14</v>
      </c>
      <c r="E221" s="9" t="s">
        <v>47</v>
      </c>
      <c r="F221" s="8" t="s">
        <v>48</v>
      </c>
      <c r="G221" s="8">
        <v>0</v>
      </c>
      <c r="H221" s="8" t="s">
        <v>57</v>
      </c>
      <c r="I221" s="8" t="s">
        <v>53</v>
      </c>
      <c r="J221" s="8" t="s">
        <v>26</v>
      </c>
      <c r="K221" s="8" t="s">
        <v>54</v>
      </c>
      <c r="L221" s="10">
        <v>4366</v>
      </c>
      <c r="M221" s="17" t="s">
        <v>79</v>
      </c>
      <c r="N221" s="6">
        <v>2020</v>
      </c>
    </row>
    <row r="222" spans="1:14" x14ac:dyDescent="0.25">
      <c r="A222" s="6">
        <v>221</v>
      </c>
      <c r="B222" s="7">
        <v>44196</v>
      </c>
      <c r="C222" s="8" t="s">
        <v>64</v>
      </c>
      <c r="D222" s="8" t="s">
        <v>14</v>
      </c>
      <c r="E222" s="9" t="s">
        <v>42</v>
      </c>
      <c r="F222" s="8" t="s">
        <v>16</v>
      </c>
      <c r="G222" s="8">
        <v>2</v>
      </c>
      <c r="H222" s="8" t="s">
        <v>49</v>
      </c>
      <c r="I222" s="8" t="s">
        <v>25</v>
      </c>
      <c r="J222" s="8" t="s">
        <v>26</v>
      </c>
      <c r="K222" s="8" t="s">
        <v>54</v>
      </c>
      <c r="L222" s="10">
        <v>3060</v>
      </c>
      <c r="M222" s="17" t="s">
        <v>79</v>
      </c>
      <c r="N222" s="6">
        <v>2020</v>
      </c>
    </row>
    <row r="223" spans="1:14" x14ac:dyDescent="0.25">
      <c r="A223" s="6">
        <v>222</v>
      </c>
      <c r="B223" s="7">
        <v>44199</v>
      </c>
      <c r="C223" s="8" t="s">
        <v>51</v>
      </c>
      <c r="D223" s="8" t="s">
        <v>33</v>
      </c>
      <c r="E223" s="9" t="s">
        <v>47</v>
      </c>
      <c r="F223" s="8" t="s">
        <v>38</v>
      </c>
      <c r="G223" s="8">
        <v>0</v>
      </c>
      <c r="H223" s="8" t="s">
        <v>24</v>
      </c>
      <c r="I223" s="8" t="s">
        <v>53</v>
      </c>
      <c r="J223" s="8" t="s">
        <v>19</v>
      </c>
      <c r="K223" s="8" t="s">
        <v>54</v>
      </c>
      <c r="L223" s="10">
        <v>503</v>
      </c>
      <c r="M223" s="17" t="s">
        <v>68</v>
      </c>
      <c r="N223" s="6">
        <v>2021</v>
      </c>
    </row>
    <row r="224" spans="1:14" x14ac:dyDescent="0.25">
      <c r="A224" s="6">
        <v>223</v>
      </c>
      <c r="B224" s="7">
        <v>44199</v>
      </c>
      <c r="C224" s="8" t="s">
        <v>64</v>
      </c>
      <c r="D224" s="8" t="s">
        <v>33</v>
      </c>
      <c r="E224" s="9" t="s">
        <v>47</v>
      </c>
      <c r="F224" s="8" t="s">
        <v>38</v>
      </c>
      <c r="G224" s="8">
        <v>0</v>
      </c>
      <c r="H224" s="8" t="s">
        <v>30</v>
      </c>
      <c r="I224" s="8" t="s">
        <v>53</v>
      </c>
      <c r="J224" s="8" t="s">
        <v>19</v>
      </c>
      <c r="K224" s="8" t="s">
        <v>20</v>
      </c>
      <c r="L224" s="10">
        <v>3846</v>
      </c>
      <c r="M224" s="17" t="s">
        <v>68</v>
      </c>
      <c r="N224" s="6">
        <v>2021</v>
      </c>
    </row>
    <row r="225" spans="1:14" x14ac:dyDescent="0.25">
      <c r="A225" s="6">
        <v>224</v>
      </c>
      <c r="B225" s="7">
        <v>44202</v>
      </c>
      <c r="C225" s="8" t="s">
        <v>51</v>
      </c>
      <c r="D225" s="8" t="s">
        <v>14</v>
      </c>
      <c r="E225" s="9" t="s">
        <v>15</v>
      </c>
      <c r="F225" s="8" t="s">
        <v>23</v>
      </c>
      <c r="G225" s="8">
        <v>0</v>
      </c>
      <c r="H225" s="8" t="s">
        <v>49</v>
      </c>
      <c r="I225" s="8" t="s">
        <v>53</v>
      </c>
      <c r="J225" s="8" t="s">
        <v>26</v>
      </c>
      <c r="K225" s="8" t="s">
        <v>27</v>
      </c>
      <c r="L225" s="10">
        <v>1690</v>
      </c>
      <c r="M225" s="17" t="s">
        <v>68</v>
      </c>
      <c r="N225" s="6">
        <v>2021</v>
      </c>
    </row>
    <row r="226" spans="1:14" x14ac:dyDescent="0.25">
      <c r="A226" s="6">
        <v>225</v>
      </c>
      <c r="B226" s="7">
        <v>44203</v>
      </c>
      <c r="C226" s="8" t="s">
        <v>51</v>
      </c>
      <c r="D226" s="8" t="s">
        <v>14</v>
      </c>
      <c r="E226" s="9" t="s">
        <v>42</v>
      </c>
      <c r="F226" s="8" t="s">
        <v>29</v>
      </c>
      <c r="G226" s="8">
        <v>0</v>
      </c>
      <c r="H226" s="8" t="s">
        <v>17</v>
      </c>
      <c r="I226" s="8" t="s">
        <v>53</v>
      </c>
      <c r="J226" s="8" t="s">
        <v>19</v>
      </c>
      <c r="K226" s="8" t="s">
        <v>54</v>
      </c>
      <c r="L226" s="10">
        <v>1010</v>
      </c>
      <c r="M226" s="17" t="s">
        <v>68</v>
      </c>
      <c r="N226" s="6">
        <v>2021</v>
      </c>
    </row>
    <row r="227" spans="1:14" x14ac:dyDescent="0.25">
      <c r="A227" s="6">
        <v>226</v>
      </c>
      <c r="B227" s="7">
        <v>44204</v>
      </c>
      <c r="C227" s="8" t="s">
        <v>65</v>
      </c>
      <c r="D227" s="8" t="s">
        <v>14</v>
      </c>
      <c r="E227" s="9" t="s">
        <v>15</v>
      </c>
      <c r="F227" s="8" t="s">
        <v>35</v>
      </c>
      <c r="G227" s="8">
        <v>0</v>
      </c>
      <c r="H227" s="8" t="s">
        <v>49</v>
      </c>
      <c r="I227" s="8" t="s">
        <v>18</v>
      </c>
      <c r="J227" s="8" t="s">
        <v>19</v>
      </c>
      <c r="K227" s="8" t="s">
        <v>20</v>
      </c>
      <c r="L227" s="10">
        <v>0</v>
      </c>
      <c r="M227" s="17" t="s">
        <v>68</v>
      </c>
      <c r="N227" s="6">
        <v>2021</v>
      </c>
    </row>
    <row r="228" spans="1:14" x14ac:dyDescent="0.25">
      <c r="A228" s="6">
        <v>227</v>
      </c>
      <c r="B228" s="7">
        <v>44204</v>
      </c>
      <c r="C228" s="8" t="s">
        <v>56</v>
      </c>
      <c r="D228" s="8" t="s">
        <v>14</v>
      </c>
      <c r="E228" s="9" t="s">
        <v>15</v>
      </c>
      <c r="F228" s="8" t="s">
        <v>63</v>
      </c>
      <c r="G228" s="8">
        <v>0</v>
      </c>
      <c r="H228" s="8" t="s">
        <v>60</v>
      </c>
      <c r="I228" s="8" t="s">
        <v>18</v>
      </c>
      <c r="J228" s="8" t="s">
        <v>46</v>
      </c>
      <c r="K228" s="8" t="s">
        <v>50</v>
      </c>
      <c r="L228" s="10">
        <v>0</v>
      </c>
      <c r="M228" s="17" t="s">
        <v>68</v>
      </c>
      <c r="N228" s="6">
        <v>2021</v>
      </c>
    </row>
    <row r="229" spans="1:14" x14ac:dyDescent="0.25">
      <c r="A229" s="6">
        <v>228</v>
      </c>
      <c r="B229" s="7">
        <v>44204</v>
      </c>
      <c r="C229" s="8" t="s">
        <v>32</v>
      </c>
      <c r="D229" s="8" t="s">
        <v>14</v>
      </c>
      <c r="E229" s="9" t="s">
        <v>47</v>
      </c>
      <c r="F229" s="8" t="s">
        <v>36</v>
      </c>
      <c r="G229" s="8">
        <v>4</v>
      </c>
      <c r="H229" s="8" t="s">
        <v>55</v>
      </c>
      <c r="I229" s="8" t="s">
        <v>25</v>
      </c>
      <c r="J229" s="8" t="s">
        <v>19</v>
      </c>
      <c r="K229" s="8" t="s">
        <v>31</v>
      </c>
      <c r="L229" s="10">
        <v>1190</v>
      </c>
      <c r="M229" s="17" t="s">
        <v>68</v>
      </c>
      <c r="N229" s="6">
        <v>2021</v>
      </c>
    </row>
    <row r="230" spans="1:14" x14ac:dyDescent="0.25">
      <c r="A230" s="6">
        <v>229</v>
      </c>
      <c r="B230" s="7">
        <v>44207</v>
      </c>
      <c r="C230" s="8" t="s">
        <v>65</v>
      </c>
      <c r="D230" s="8" t="s">
        <v>14</v>
      </c>
      <c r="E230" s="9" t="s">
        <v>47</v>
      </c>
      <c r="F230" s="8" t="s">
        <v>48</v>
      </c>
      <c r="G230" s="8">
        <v>0</v>
      </c>
      <c r="H230" s="8" t="s">
        <v>49</v>
      </c>
      <c r="I230" s="8" t="s">
        <v>53</v>
      </c>
      <c r="J230" s="8" t="s">
        <v>26</v>
      </c>
      <c r="K230" s="8" t="s">
        <v>31</v>
      </c>
      <c r="L230" s="10">
        <v>2459</v>
      </c>
      <c r="M230" s="17" t="s">
        <v>68</v>
      </c>
      <c r="N230" s="6">
        <v>2021</v>
      </c>
    </row>
    <row r="231" spans="1:14" x14ac:dyDescent="0.25">
      <c r="A231" s="6">
        <v>230</v>
      </c>
      <c r="B231" s="7">
        <v>44209</v>
      </c>
      <c r="C231" s="8" t="s">
        <v>21</v>
      </c>
      <c r="D231" s="8" t="s">
        <v>14</v>
      </c>
      <c r="E231" s="9" t="s">
        <v>34</v>
      </c>
      <c r="F231" s="8" t="s">
        <v>35</v>
      </c>
      <c r="G231" s="8">
        <v>1.5</v>
      </c>
      <c r="H231" s="8" t="s">
        <v>49</v>
      </c>
      <c r="I231" s="8" t="s">
        <v>25</v>
      </c>
      <c r="J231" s="8" t="s">
        <v>46</v>
      </c>
      <c r="K231" s="8" t="s">
        <v>52</v>
      </c>
      <c r="L231" s="10">
        <v>995</v>
      </c>
      <c r="M231" s="17" t="s">
        <v>68</v>
      </c>
      <c r="N231" s="6">
        <v>2021</v>
      </c>
    </row>
    <row r="232" spans="1:14" x14ac:dyDescent="0.25">
      <c r="A232" s="6">
        <v>231</v>
      </c>
      <c r="B232" s="7">
        <v>44212</v>
      </c>
      <c r="C232" s="8" t="s">
        <v>56</v>
      </c>
      <c r="D232" s="8" t="s">
        <v>14</v>
      </c>
      <c r="E232" s="9" t="s">
        <v>15</v>
      </c>
      <c r="F232" s="8" t="s">
        <v>38</v>
      </c>
      <c r="G232" s="8">
        <v>2</v>
      </c>
      <c r="H232" s="8" t="s">
        <v>24</v>
      </c>
      <c r="I232" s="8" t="s">
        <v>25</v>
      </c>
      <c r="J232" s="8" t="s">
        <v>26</v>
      </c>
      <c r="K232" s="8" t="s">
        <v>31</v>
      </c>
      <c r="L232" s="10">
        <v>2593</v>
      </c>
      <c r="M232" s="17" t="s">
        <v>68</v>
      </c>
      <c r="N232" s="6">
        <v>2021</v>
      </c>
    </row>
    <row r="233" spans="1:14" x14ac:dyDescent="0.25">
      <c r="A233" s="6">
        <v>232</v>
      </c>
      <c r="B233" s="7">
        <v>44215</v>
      </c>
      <c r="C233" s="8" t="s">
        <v>65</v>
      </c>
      <c r="D233" s="8" t="s">
        <v>14</v>
      </c>
      <c r="E233" s="9" t="s">
        <v>42</v>
      </c>
      <c r="F233" s="8" t="s">
        <v>36</v>
      </c>
      <c r="G233" s="8">
        <v>0</v>
      </c>
      <c r="H233" s="8" t="s">
        <v>49</v>
      </c>
      <c r="I233" s="8" t="s">
        <v>18</v>
      </c>
      <c r="J233" s="8" t="s">
        <v>26</v>
      </c>
      <c r="K233" s="8" t="s">
        <v>31</v>
      </c>
      <c r="L233" s="10">
        <v>0</v>
      </c>
      <c r="M233" s="17" t="s">
        <v>68</v>
      </c>
      <c r="N233" s="6">
        <v>2021</v>
      </c>
    </row>
    <row r="234" spans="1:14" x14ac:dyDescent="0.25">
      <c r="A234" s="6">
        <v>233</v>
      </c>
      <c r="B234" s="7">
        <v>44219</v>
      </c>
      <c r="C234" s="8" t="s">
        <v>41</v>
      </c>
      <c r="D234" s="8" t="s">
        <v>14</v>
      </c>
      <c r="E234" s="9" t="s">
        <v>34</v>
      </c>
      <c r="F234" s="8" t="s">
        <v>35</v>
      </c>
      <c r="G234" s="8">
        <v>0</v>
      </c>
      <c r="H234" s="8" t="s">
        <v>17</v>
      </c>
      <c r="I234" s="8" t="s">
        <v>39</v>
      </c>
      <c r="J234" s="8" t="s">
        <v>19</v>
      </c>
      <c r="K234" s="8" t="s">
        <v>20</v>
      </c>
      <c r="L234" s="10">
        <v>8</v>
      </c>
      <c r="M234" s="17" t="s">
        <v>68</v>
      </c>
      <c r="N234" s="6">
        <v>2021</v>
      </c>
    </row>
    <row r="235" spans="1:14" x14ac:dyDescent="0.25">
      <c r="A235" s="6">
        <v>234</v>
      </c>
      <c r="B235" s="7">
        <v>44221</v>
      </c>
      <c r="C235" s="8" t="s">
        <v>61</v>
      </c>
      <c r="D235" s="8" t="s">
        <v>14</v>
      </c>
      <c r="E235" s="9" t="s">
        <v>34</v>
      </c>
      <c r="F235" s="8" t="s">
        <v>23</v>
      </c>
      <c r="G235" s="8">
        <v>0</v>
      </c>
      <c r="H235" s="8" t="s">
        <v>17</v>
      </c>
      <c r="I235" s="8" t="s">
        <v>53</v>
      </c>
      <c r="J235" s="8" t="s">
        <v>26</v>
      </c>
      <c r="K235" s="8" t="s">
        <v>59</v>
      </c>
      <c r="L235" s="10">
        <v>4259</v>
      </c>
      <c r="M235" s="17" t="s">
        <v>68</v>
      </c>
      <c r="N235" s="6">
        <v>2021</v>
      </c>
    </row>
    <row r="236" spans="1:14" x14ac:dyDescent="0.25">
      <c r="A236" s="6">
        <v>235</v>
      </c>
      <c r="B236" s="7">
        <v>44222</v>
      </c>
      <c r="C236" s="8" t="s">
        <v>65</v>
      </c>
      <c r="D236" s="8" t="s">
        <v>14</v>
      </c>
      <c r="E236" s="9" t="s">
        <v>22</v>
      </c>
      <c r="F236" s="8" t="s">
        <v>16</v>
      </c>
      <c r="G236" s="8">
        <v>0</v>
      </c>
      <c r="H236" s="8" t="s">
        <v>55</v>
      </c>
      <c r="I236" s="8" t="s">
        <v>53</v>
      </c>
      <c r="J236" s="8" t="s">
        <v>46</v>
      </c>
      <c r="K236" s="8" t="s">
        <v>31</v>
      </c>
      <c r="L236" s="10">
        <v>2582</v>
      </c>
      <c r="M236" s="17" t="s">
        <v>68</v>
      </c>
      <c r="N236" s="6">
        <v>2021</v>
      </c>
    </row>
    <row r="237" spans="1:14" x14ac:dyDescent="0.25">
      <c r="A237" s="6">
        <v>236</v>
      </c>
      <c r="B237" s="7">
        <v>44223</v>
      </c>
      <c r="C237" s="8" t="s">
        <v>32</v>
      </c>
      <c r="D237" s="8" t="s">
        <v>14</v>
      </c>
      <c r="E237" s="9" t="s">
        <v>15</v>
      </c>
      <c r="F237" s="8" t="s">
        <v>48</v>
      </c>
      <c r="G237" s="8">
        <v>0</v>
      </c>
      <c r="H237" s="8" t="s">
        <v>17</v>
      </c>
      <c r="I237" s="8" t="s">
        <v>39</v>
      </c>
      <c r="J237" s="8" t="s">
        <v>46</v>
      </c>
      <c r="K237" s="8" t="s">
        <v>52</v>
      </c>
      <c r="L237" s="10">
        <v>66</v>
      </c>
      <c r="M237" s="17" t="s">
        <v>68</v>
      </c>
      <c r="N237" s="6">
        <v>2021</v>
      </c>
    </row>
    <row r="238" spans="1:14" x14ac:dyDescent="0.25">
      <c r="A238" s="6">
        <v>237</v>
      </c>
      <c r="B238" s="7">
        <v>44229</v>
      </c>
      <c r="C238" s="8" t="s">
        <v>21</v>
      </c>
      <c r="D238" s="8" t="s">
        <v>14</v>
      </c>
      <c r="E238" s="9" t="s">
        <v>15</v>
      </c>
      <c r="F238" s="8" t="s">
        <v>48</v>
      </c>
      <c r="G238" s="8">
        <v>0.5</v>
      </c>
      <c r="H238" s="8" t="s">
        <v>60</v>
      </c>
      <c r="I238" s="8" t="s">
        <v>25</v>
      </c>
      <c r="J238" s="8" t="s">
        <v>26</v>
      </c>
      <c r="K238" s="8" t="s">
        <v>43</v>
      </c>
      <c r="L238" s="10">
        <v>2437</v>
      </c>
      <c r="M238" s="17" t="s">
        <v>69</v>
      </c>
      <c r="N238" s="6">
        <v>2021</v>
      </c>
    </row>
    <row r="239" spans="1:14" x14ac:dyDescent="0.25">
      <c r="A239" s="6">
        <v>238</v>
      </c>
      <c r="B239" s="7">
        <v>44229</v>
      </c>
      <c r="C239" s="8" t="s">
        <v>56</v>
      </c>
      <c r="D239" s="8" t="s">
        <v>33</v>
      </c>
      <c r="E239" s="9" t="s">
        <v>34</v>
      </c>
      <c r="F239" s="8" t="s">
        <v>23</v>
      </c>
      <c r="G239" s="8">
        <v>0</v>
      </c>
      <c r="H239" s="8" t="s">
        <v>24</v>
      </c>
      <c r="I239" s="8" t="s">
        <v>18</v>
      </c>
      <c r="J239" s="8" t="s">
        <v>26</v>
      </c>
      <c r="K239" s="8" t="s">
        <v>20</v>
      </c>
      <c r="L239" s="10">
        <v>0</v>
      </c>
      <c r="M239" s="17" t="s">
        <v>69</v>
      </c>
      <c r="N239" s="6">
        <v>2021</v>
      </c>
    </row>
    <row r="240" spans="1:14" x14ac:dyDescent="0.25">
      <c r="A240" s="6">
        <v>239</v>
      </c>
      <c r="B240" s="7">
        <v>44230</v>
      </c>
      <c r="C240" s="8" t="s">
        <v>51</v>
      </c>
      <c r="D240" s="8" t="s">
        <v>14</v>
      </c>
      <c r="E240" s="9" t="s">
        <v>34</v>
      </c>
      <c r="F240" s="8" t="s">
        <v>63</v>
      </c>
      <c r="G240" s="8">
        <v>0</v>
      </c>
      <c r="H240" s="8" t="s">
        <v>60</v>
      </c>
      <c r="I240" s="8" t="s">
        <v>53</v>
      </c>
      <c r="J240" s="8" t="s">
        <v>26</v>
      </c>
      <c r="K240" s="8" t="s">
        <v>20</v>
      </c>
      <c r="L240" s="10">
        <v>2359</v>
      </c>
      <c r="M240" s="17" t="s">
        <v>69</v>
      </c>
      <c r="N240" s="6">
        <v>2021</v>
      </c>
    </row>
    <row r="241" spans="1:14" x14ac:dyDescent="0.25">
      <c r="A241" s="6">
        <v>240</v>
      </c>
      <c r="B241" s="7">
        <v>44234</v>
      </c>
      <c r="C241" s="8" t="s">
        <v>41</v>
      </c>
      <c r="D241" s="8" t="s">
        <v>14</v>
      </c>
      <c r="E241" s="9" t="s">
        <v>34</v>
      </c>
      <c r="F241" s="8" t="s">
        <v>16</v>
      </c>
      <c r="G241" s="8">
        <v>0</v>
      </c>
      <c r="H241" s="8" t="s">
        <v>37</v>
      </c>
      <c r="I241" s="8" t="s">
        <v>53</v>
      </c>
      <c r="J241" s="8" t="s">
        <v>46</v>
      </c>
      <c r="K241" s="8" t="s">
        <v>20</v>
      </c>
      <c r="L241" s="10">
        <v>653</v>
      </c>
      <c r="M241" s="17" t="s">
        <v>69</v>
      </c>
      <c r="N241" s="6">
        <v>2021</v>
      </c>
    </row>
    <row r="242" spans="1:14" x14ac:dyDescent="0.25">
      <c r="A242" s="6">
        <v>241</v>
      </c>
      <c r="B242" s="7">
        <v>44238</v>
      </c>
      <c r="C242" s="8" t="s">
        <v>32</v>
      </c>
      <c r="D242" s="8" t="s">
        <v>14</v>
      </c>
      <c r="E242" s="9" t="s">
        <v>15</v>
      </c>
      <c r="F242" s="8" t="s">
        <v>29</v>
      </c>
      <c r="G242" s="8">
        <v>0</v>
      </c>
      <c r="H242" s="8" t="s">
        <v>17</v>
      </c>
      <c r="I242" s="8" t="s">
        <v>53</v>
      </c>
      <c r="J242" s="8" t="s">
        <v>19</v>
      </c>
      <c r="K242" s="8" t="s">
        <v>20</v>
      </c>
      <c r="L242" s="10">
        <v>3487</v>
      </c>
      <c r="M242" s="17" t="s">
        <v>69</v>
      </c>
      <c r="N242" s="6">
        <v>2021</v>
      </c>
    </row>
    <row r="243" spans="1:14" x14ac:dyDescent="0.25">
      <c r="A243" s="6">
        <v>242</v>
      </c>
      <c r="B243" s="7">
        <v>44238</v>
      </c>
      <c r="C243" s="8" t="s">
        <v>44</v>
      </c>
      <c r="D243" s="8" t="s">
        <v>14</v>
      </c>
      <c r="E243" s="9" t="s">
        <v>47</v>
      </c>
      <c r="F243" s="8" t="s">
        <v>35</v>
      </c>
      <c r="G243" s="8">
        <v>0</v>
      </c>
      <c r="H243" s="8" t="s">
        <v>45</v>
      </c>
      <c r="I243" s="8" t="s">
        <v>39</v>
      </c>
      <c r="J243" s="8" t="s">
        <v>19</v>
      </c>
      <c r="K243" s="8" t="s">
        <v>59</v>
      </c>
      <c r="L243" s="10">
        <v>67</v>
      </c>
      <c r="M243" s="17" t="s">
        <v>69</v>
      </c>
      <c r="N243" s="6">
        <v>2021</v>
      </c>
    </row>
    <row r="244" spans="1:14" x14ac:dyDescent="0.25">
      <c r="A244" s="6">
        <v>243</v>
      </c>
      <c r="B244" s="7">
        <v>44240</v>
      </c>
      <c r="C244" s="8" t="s">
        <v>41</v>
      </c>
      <c r="D244" s="8" t="s">
        <v>14</v>
      </c>
      <c r="E244" s="9" t="s">
        <v>34</v>
      </c>
      <c r="F244" s="8" t="s">
        <v>38</v>
      </c>
      <c r="G244" s="8">
        <v>2.5</v>
      </c>
      <c r="H244" s="8" t="s">
        <v>24</v>
      </c>
      <c r="I244" s="8" t="s">
        <v>25</v>
      </c>
      <c r="J244" s="8" t="s">
        <v>46</v>
      </c>
      <c r="K244" s="8" t="s">
        <v>52</v>
      </c>
      <c r="L244" s="10">
        <v>1922</v>
      </c>
      <c r="M244" s="17" t="s">
        <v>69</v>
      </c>
      <c r="N244" s="6">
        <v>2021</v>
      </c>
    </row>
    <row r="245" spans="1:14" x14ac:dyDescent="0.25">
      <c r="A245" s="6">
        <v>244</v>
      </c>
      <c r="B245" s="7">
        <v>44241</v>
      </c>
      <c r="C245" s="8" t="s">
        <v>65</v>
      </c>
      <c r="D245" s="8" t="s">
        <v>14</v>
      </c>
      <c r="E245" s="9" t="s">
        <v>15</v>
      </c>
      <c r="F245" s="8" t="s">
        <v>48</v>
      </c>
      <c r="G245" s="8">
        <v>0</v>
      </c>
      <c r="H245" s="8" t="s">
        <v>57</v>
      </c>
      <c r="I245" s="8" t="s">
        <v>53</v>
      </c>
      <c r="J245" s="8" t="s">
        <v>46</v>
      </c>
      <c r="K245" s="8" t="s">
        <v>20</v>
      </c>
      <c r="L245" s="10">
        <v>4247</v>
      </c>
      <c r="M245" s="17" t="s">
        <v>69</v>
      </c>
      <c r="N245" s="6">
        <v>2021</v>
      </c>
    </row>
    <row r="246" spans="1:14" x14ac:dyDescent="0.25">
      <c r="A246" s="6">
        <v>245</v>
      </c>
      <c r="B246" s="7">
        <v>44242</v>
      </c>
      <c r="C246" s="8" t="s">
        <v>44</v>
      </c>
      <c r="D246" s="8" t="s">
        <v>14</v>
      </c>
      <c r="E246" s="9" t="s">
        <v>34</v>
      </c>
      <c r="F246" s="8" t="s">
        <v>48</v>
      </c>
      <c r="G246" s="8">
        <v>0</v>
      </c>
      <c r="H246" s="8" t="s">
        <v>60</v>
      </c>
      <c r="I246" s="8" t="s">
        <v>18</v>
      </c>
      <c r="J246" s="8" t="s">
        <v>46</v>
      </c>
      <c r="K246" s="8" t="s">
        <v>27</v>
      </c>
      <c r="L246" s="10">
        <v>0</v>
      </c>
      <c r="M246" s="17" t="s">
        <v>69</v>
      </c>
      <c r="N246" s="6">
        <v>2021</v>
      </c>
    </row>
    <row r="247" spans="1:14" x14ac:dyDescent="0.25">
      <c r="A247" s="6">
        <v>246</v>
      </c>
      <c r="B247" s="7">
        <v>44245</v>
      </c>
      <c r="C247" s="8" t="s">
        <v>65</v>
      </c>
      <c r="D247" s="8" t="s">
        <v>14</v>
      </c>
      <c r="E247" s="9" t="s">
        <v>15</v>
      </c>
      <c r="F247" s="8" t="s">
        <v>48</v>
      </c>
      <c r="G247" s="8">
        <v>0</v>
      </c>
      <c r="H247" s="8" t="s">
        <v>60</v>
      </c>
      <c r="I247" s="8" t="s">
        <v>18</v>
      </c>
      <c r="J247" s="8" t="s">
        <v>46</v>
      </c>
      <c r="K247" s="8" t="s">
        <v>59</v>
      </c>
      <c r="L247" s="10">
        <v>0</v>
      </c>
      <c r="M247" s="17" t="s">
        <v>69</v>
      </c>
      <c r="N247" s="6">
        <v>2021</v>
      </c>
    </row>
    <row r="248" spans="1:14" x14ac:dyDescent="0.25">
      <c r="A248" s="6">
        <v>247</v>
      </c>
      <c r="B248" s="7">
        <v>44245</v>
      </c>
      <c r="C248" s="8" t="s">
        <v>41</v>
      </c>
      <c r="D248" s="8" t="s">
        <v>33</v>
      </c>
      <c r="E248" s="9" t="s">
        <v>47</v>
      </c>
      <c r="F248" s="8" t="s">
        <v>63</v>
      </c>
      <c r="G248" s="8">
        <v>0</v>
      </c>
      <c r="H248" s="8" t="s">
        <v>49</v>
      </c>
      <c r="I248" s="8" t="s">
        <v>18</v>
      </c>
      <c r="J248" s="8" t="s">
        <v>46</v>
      </c>
      <c r="K248" s="8" t="s">
        <v>52</v>
      </c>
      <c r="L248" s="10">
        <v>0</v>
      </c>
      <c r="M248" s="17" t="s">
        <v>69</v>
      </c>
      <c r="N248" s="6">
        <v>2021</v>
      </c>
    </row>
    <row r="249" spans="1:14" x14ac:dyDescent="0.25">
      <c r="A249" s="6">
        <v>248</v>
      </c>
      <c r="B249" s="7">
        <v>44246</v>
      </c>
      <c r="C249" s="8" t="s">
        <v>13</v>
      </c>
      <c r="D249" s="8" t="s">
        <v>14</v>
      </c>
      <c r="E249" s="9" t="s">
        <v>15</v>
      </c>
      <c r="F249" s="8" t="s">
        <v>38</v>
      </c>
      <c r="G249" s="8">
        <v>0</v>
      </c>
      <c r="H249" s="8" t="s">
        <v>45</v>
      </c>
      <c r="I249" s="8" t="s">
        <v>39</v>
      </c>
      <c r="J249" s="8" t="s">
        <v>46</v>
      </c>
      <c r="K249" s="8" t="s">
        <v>27</v>
      </c>
      <c r="L249" s="10">
        <v>189</v>
      </c>
      <c r="M249" s="17" t="s">
        <v>69</v>
      </c>
      <c r="N249" s="6">
        <v>2021</v>
      </c>
    </row>
    <row r="250" spans="1:14" x14ac:dyDescent="0.25">
      <c r="A250" s="6">
        <v>249</v>
      </c>
      <c r="B250" s="7">
        <v>44248</v>
      </c>
      <c r="C250" s="8" t="s">
        <v>13</v>
      </c>
      <c r="D250" s="8" t="s">
        <v>14</v>
      </c>
      <c r="E250" s="9" t="s">
        <v>15</v>
      </c>
      <c r="F250" s="8" t="s">
        <v>23</v>
      </c>
      <c r="G250" s="8">
        <v>0</v>
      </c>
      <c r="H250" s="8" t="s">
        <v>55</v>
      </c>
      <c r="I250" s="8" t="s">
        <v>18</v>
      </c>
      <c r="J250" s="8" t="s">
        <v>46</v>
      </c>
      <c r="K250" s="8" t="s">
        <v>54</v>
      </c>
      <c r="L250" s="10">
        <v>0</v>
      </c>
      <c r="M250" s="17" t="s">
        <v>69</v>
      </c>
      <c r="N250" s="6">
        <v>2021</v>
      </c>
    </row>
    <row r="251" spans="1:14" x14ac:dyDescent="0.25">
      <c r="A251" s="6">
        <v>250</v>
      </c>
      <c r="B251" s="7">
        <v>44251</v>
      </c>
      <c r="C251" s="8" t="s">
        <v>65</v>
      </c>
      <c r="D251" s="8" t="s">
        <v>14</v>
      </c>
      <c r="E251" s="9" t="s">
        <v>22</v>
      </c>
      <c r="F251" s="8" t="s">
        <v>36</v>
      </c>
      <c r="G251" s="8">
        <v>0</v>
      </c>
      <c r="H251" s="8" t="s">
        <v>37</v>
      </c>
      <c r="I251" s="8" t="s">
        <v>18</v>
      </c>
      <c r="J251" s="8" t="s">
        <v>19</v>
      </c>
      <c r="K251" s="8" t="s">
        <v>43</v>
      </c>
      <c r="L251" s="10">
        <v>0</v>
      </c>
      <c r="M251" s="17" t="s">
        <v>69</v>
      </c>
      <c r="N251" s="6">
        <v>2021</v>
      </c>
    </row>
    <row r="252" spans="1:14" x14ac:dyDescent="0.25">
      <c r="A252" s="6">
        <v>251</v>
      </c>
      <c r="B252" s="7">
        <v>44253</v>
      </c>
      <c r="C252" s="8" t="s">
        <v>51</v>
      </c>
      <c r="D252" s="8" t="s">
        <v>14</v>
      </c>
      <c r="E252" s="9" t="s">
        <v>34</v>
      </c>
      <c r="F252" s="8" t="s">
        <v>63</v>
      </c>
      <c r="G252" s="8">
        <v>0</v>
      </c>
      <c r="H252" s="8" t="s">
        <v>57</v>
      </c>
      <c r="I252" s="8" t="s">
        <v>53</v>
      </c>
      <c r="J252" s="8" t="s">
        <v>26</v>
      </c>
      <c r="K252" s="8" t="s">
        <v>40</v>
      </c>
      <c r="L252" s="10">
        <v>2801</v>
      </c>
      <c r="M252" s="17" t="s">
        <v>69</v>
      </c>
      <c r="N252" s="6">
        <v>2021</v>
      </c>
    </row>
    <row r="253" spans="1:14" x14ac:dyDescent="0.25">
      <c r="A253" s="6">
        <v>252</v>
      </c>
      <c r="B253" s="7">
        <v>44255</v>
      </c>
      <c r="C253" s="8" t="s">
        <v>56</v>
      </c>
      <c r="D253" s="8" t="s">
        <v>14</v>
      </c>
      <c r="E253" s="9" t="s">
        <v>34</v>
      </c>
      <c r="F253" s="8" t="s">
        <v>63</v>
      </c>
      <c r="G253" s="8">
        <v>0</v>
      </c>
      <c r="H253" s="8" t="s">
        <v>17</v>
      </c>
      <c r="I253" s="8" t="s">
        <v>18</v>
      </c>
      <c r="J253" s="8" t="s">
        <v>19</v>
      </c>
      <c r="K253" s="8" t="s">
        <v>43</v>
      </c>
      <c r="L253" s="10">
        <v>0</v>
      </c>
      <c r="M253" s="17" t="s">
        <v>69</v>
      </c>
      <c r="N253" s="6">
        <v>2021</v>
      </c>
    </row>
    <row r="254" spans="1:14" x14ac:dyDescent="0.25">
      <c r="A254" s="6">
        <v>253</v>
      </c>
      <c r="B254" s="7">
        <v>44256</v>
      </c>
      <c r="C254" s="8" t="s">
        <v>51</v>
      </c>
      <c r="D254" s="8" t="s">
        <v>14</v>
      </c>
      <c r="E254" s="9" t="s">
        <v>22</v>
      </c>
      <c r="F254" s="8" t="s">
        <v>36</v>
      </c>
      <c r="G254" s="8">
        <v>0</v>
      </c>
      <c r="H254" s="8" t="s">
        <v>60</v>
      </c>
      <c r="I254" s="8" t="s">
        <v>18</v>
      </c>
      <c r="J254" s="8" t="s">
        <v>26</v>
      </c>
      <c r="K254" s="8" t="s">
        <v>43</v>
      </c>
      <c r="L254" s="10">
        <v>0</v>
      </c>
      <c r="M254" s="17" t="s">
        <v>70</v>
      </c>
      <c r="N254" s="6">
        <v>2021</v>
      </c>
    </row>
    <row r="255" spans="1:14" x14ac:dyDescent="0.25">
      <c r="A255" s="6">
        <v>254</v>
      </c>
      <c r="B255" s="7">
        <v>44257</v>
      </c>
      <c r="C255" s="8" t="s">
        <v>64</v>
      </c>
      <c r="D255" s="8" t="s">
        <v>14</v>
      </c>
      <c r="E255" s="9" t="s">
        <v>47</v>
      </c>
      <c r="F255" s="8" t="s">
        <v>62</v>
      </c>
      <c r="G255" s="8">
        <v>0</v>
      </c>
      <c r="H255" s="8" t="s">
        <v>55</v>
      </c>
      <c r="I255" s="8" t="s">
        <v>18</v>
      </c>
      <c r="J255" s="8" t="s">
        <v>19</v>
      </c>
      <c r="K255" s="8" t="s">
        <v>54</v>
      </c>
      <c r="L255" s="10">
        <v>0</v>
      </c>
      <c r="M255" s="17" t="s">
        <v>70</v>
      </c>
      <c r="N255" s="6">
        <v>2021</v>
      </c>
    </row>
    <row r="256" spans="1:14" x14ac:dyDescent="0.25">
      <c r="A256" s="6">
        <v>255</v>
      </c>
      <c r="B256" s="7">
        <v>44259</v>
      </c>
      <c r="C256" s="8" t="s">
        <v>13</v>
      </c>
      <c r="D256" s="8" t="s">
        <v>14</v>
      </c>
      <c r="E256" s="9" t="s">
        <v>22</v>
      </c>
      <c r="F256" s="8" t="s">
        <v>63</v>
      </c>
      <c r="G256" s="8">
        <v>0</v>
      </c>
      <c r="H256" s="8" t="s">
        <v>49</v>
      </c>
      <c r="I256" s="8" t="s">
        <v>39</v>
      </c>
      <c r="J256" s="8" t="s">
        <v>19</v>
      </c>
      <c r="K256" s="8" t="s">
        <v>50</v>
      </c>
      <c r="L256" s="10">
        <v>382</v>
      </c>
      <c r="M256" s="17" t="s">
        <v>70</v>
      </c>
      <c r="N256" s="6">
        <v>2021</v>
      </c>
    </row>
    <row r="257" spans="1:14" x14ac:dyDescent="0.25">
      <c r="A257" s="6">
        <v>256</v>
      </c>
      <c r="B257" s="7">
        <v>44260</v>
      </c>
      <c r="C257" s="8" t="s">
        <v>56</v>
      </c>
      <c r="D257" s="8" t="s">
        <v>14</v>
      </c>
      <c r="E257" s="9" t="s">
        <v>47</v>
      </c>
      <c r="F257" s="8" t="s">
        <v>29</v>
      </c>
      <c r="G257" s="8">
        <v>1.5</v>
      </c>
      <c r="H257" s="8" t="s">
        <v>49</v>
      </c>
      <c r="I257" s="8" t="s">
        <v>25</v>
      </c>
      <c r="J257" s="8" t="s">
        <v>19</v>
      </c>
      <c r="K257" s="8" t="s">
        <v>40</v>
      </c>
      <c r="L257" s="10">
        <v>1177</v>
      </c>
      <c r="M257" s="17" t="s">
        <v>70</v>
      </c>
      <c r="N257" s="6">
        <v>2021</v>
      </c>
    </row>
    <row r="258" spans="1:14" x14ac:dyDescent="0.25">
      <c r="A258" s="6">
        <v>257</v>
      </c>
      <c r="B258" s="7">
        <v>44260</v>
      </c>
      <c r="C258" s="8" t="s">
        <v>51</v>
      </c>
      <c r="D258" s="8" t="s">
        <v>14</v>
      </c>
      <c r="E258" s="9" t="s">
        <v>34</v>
      </c>
      <c r="F258" s="8" t="s">
        <v>62</v>
      </c>
      <c r="G258" s="8">
        <v>0</v>
      </c>
      <c r="H258" s="8" t="s">
        <v>17</v>
      </c>
      <c r="I258" s="8" t="s">
        <v>39</v>
      </c>
      <c r="J258" s="8" t="s">
        <v>46</v>
      </c>
      <c r="K258" s="8" t="s">
        <v>54</v>
      </c>
      <c r="L258" s="10">
        <v>308</v>
      </c>
      <c r="M258" s="17" t="s">
        <v>70</v>
      </c>
      <c r="N258" s="6">
        <v>2021</v>
      </c>
    </row>
    <row r="259" spans="1:14" x14ac:dyDescent="0.25">
      <c r="A259" s="6">
        <v>258</v>
      </c>
      <c r="B259" s="7">
        <v>44266</v>
      </c>
      <c r="C259" s="8" t="s">
        <v>32</v>
      </c>
      <c r="D259" s="8" t="s">
        <v>33</v>
      </c>
      <c r="E259" s="9" t="s">
        <v>15</v>
      </c>
      <c r="F259" s="8" t="s">
        <v>62</v>
      </c>
      <c r="G259" s="8">
        <v>0</v>
      </c>
      <c r="H259" s="8" t="s">
        <v>45</v>
      </c>
      <c r="I259" s="8" t="s">
        <v>39</v>
      </c>
      <c r="J259" s="8" t="s">
        <v>46</v>
      </c>
      <c r="K259" s="8" t="s">
        <v>20</v>
      </c>
      <c r="L259" s="10">
        <v>84</v>
      </c>
      <c r="M259" s="17" t="s">
        <v>70</v>
      </c>
      <c r="N259" s="6">
        <v>2021</v>
      </c>
    </row>
    <row r="260" spans="1:14" x14ac:dyDescent="0.25">
      <c r="A260" s="6">
        <v>259</v>
      </c>
      <c r="B260" s="7">
        <v>44267</v>
      </c>
      <c r="C260" s="8" t="s">
        <v>56</v>
      </c>
      <c r="D260" s="8" t="s">
        <v>14</v>
      </c>
      <c r="E260" s="9" t="s">
        <v>15</v>
      </c>
      <c r="F260" s="8" t="s">
        <v>63</v>
      </c>
      <c r="G260" s="8">
        <v>0</v>
      </c>
      <c r="H260" s="8" t="s">
        <v>55</v>
      </c>
      <c r="I260" s="8" t="s">
        <v>53</v>
      </c>
      <c r="J260" s="8" t="s">
        <v>46</v>
      </c>
      <c r="K260" s="8" t="s">
        <v>50</v>
      </c>
      <c r="L260" s="10">
        <v>501</v>
      </c>
      <c r="M260" s="17" t="s">
        <v>70</v>
      </c>
      <c r="N260" s="6">
        <v>2021</v>
      </c>
    </row>
    <row r="261" spans="1:14" x14ac:dyDescent="0.25">
      <c r="A261" s="6">
        <v>260</v>
      </c>
      <c r="B261" s="7">
        <v>44269</v>
      </c>
      <c r="C261" s="8" t="s">
        <v>21</v>
      </c>
      <c r="D261" s="8" t="s">
        <v>14</v>
      </c>
      <c r="E261" s="9" t="s">
        <v>34</v>
      </c>
      <c r="F261" s="8" t="s">
        <v>63</v>
      </c>
      <c r="G261" s="8">
        <v>0</v>
      </c>
      <c r="H261" s="8" t="s">
        <v>60</v>
      </c>
      <c r="I261" s="8" t="s">
        <v>53</v>
      </c>
      <c r="J261" s="8" t="s">
        <v>26</v>
      </c>
      <c r="K261" s="8" t="s">
        <v>43</v>
      </c>
      <c r="L261" s="10">
        <v>4587</v>
      </c>
      <c r="M261" s="17" t="s">
        <v>70</v>
      </c>
      <c r="N261" s="6">
        <v>2021</v>
      </c>
    </row>
    <row r="262" spans="1:14" x14ac:dyDescent="0.25">
      <c r="A262" s="6">
        <v>261</v>
      </c>
      <c r="B262" s="7">
        <v>44269</v>
      </c>
      <c r="C262" s="8" t="s">
        <v>41</v>
      </c>
      <c r="D262" s="8" t="s">
        <v>14</v>
      </c>
      <c r="E262" s="9" t="s">
        <v>34</v>
      </c>
      <c r="F262" s="8" t="s">
        <v>48</v>
      </c>
      <c r="G262" s="8">
        <v>0</v>
      </c>
      <c r="H262" s="8" t="s">
        <v>30</v>
      </c>
      <c r="I262" s="8" t="s">
        <v>18</v>
      </c>
      <c r="J262" s="8" t="s">
        <v>19</v>
      </c>
      <c r="K262" s="8" t="s">
        <v>20</v>
      </c>
      <c r="L262" s="10">
        <v>0</v>
      </c>
      <c r="M262" s="17" t="s">
        <v>70</v>
      </c>
      <c r="N262" s="6">
        <v>2021</v>
      </c>
    </row>
    <row r="263" spans="1:14" x14ac:dyDescent="0.25">
      <c r="A263" s="6">
        <v>262</v>
      </c>
      <c r="B263" s="7">
        <v>44270</v>
      </c>
      <c r="C263" s="8" t="s">
        <v>51</v>
      </c>
      <c r="D263" s="8" t="s">
        <v>14</v>
      </c>
      <c r="E263" s="9" t="s">
        <v>34</v>
      </c>
      <c r="F263" s="8" t="s">
        <v>23</v>
      </c>
      <c r="G263" s="8">
        <v>0</v>
      </c>
      <c r="H263" s="8" t="s">
        <v>60</v>
      </c>
      <c r="I263" s="8" t="s">
        <v>53</v>
      </c>
      <c r="J263" s="8" t="s">
        <v>46</v>
      </c>
      <c r="K263" s="8" t="s">
        <v>40</v>
      </c>
      <c r="L263" s="10">
        <v>3871</v>
      </c>
      <c r="M263" s="17" t="s">
        <v>70</v>
      </c>
      <c r="N263" s="6">
        <v>2021</v>
      </c>
    </row>
    <row r="264" spans="1:14" x14ac:dyDescent="0.25">
      <c r="A264" s="6">
        <v>263</v>
      </c>
      <c r="B264" s="7">
        <v>44272</v>
      </c>
      <c r="C264" s="8" t="s">
        <v>64</v>
      </c>
      <c r="D264" s="8" t="s">
        <v>14</v>
      </c>
      <c r="E264" s="9" t="s">
        <v>47</v>
      </c>
      <c r="F264" s="8" t="s">
        <v>16</v>
      </c>
      <c r="G264" s="8">
        <v>1.5</v>
      </c>
      <c r="H264" s="8" t="s">
        <v>37</v>
      </c>
      <c r="I264" s="8" t="s">
        <v>25</v>
      </c>
      <c r="J264" s="8" t="s">
        <v>19</v>
      </c>
      <c r="K264" s="8" t="s">
        <v>50</v>
      </c>
      <c r="L264" s="10">
        <v>4781</v>
      </c>
      <c r="M264" s="17" t="s">
        <v>70</v>
      </c>
      <c r="N264" s="6">
        <v>2021</v>
      </c>
    </row>
    <row r="265" spans="1:14" x14ac:dyDescent="0.25">
      <c r="A265" s="6">
        <v>264</v>
      </c>
      <c r="B265" s="7">
        <v>44272</v>
      </c>
      <c r="C265" s="8" t="s">
        <v>44</v>
      </c>
      <c r="D265" s="8" t="s">
        <v>33</v>
      </c>
      <c r="E265" s="9" t="s">
        <v>34</v>
      </c>
      <c r="F265" s="8" t="s">
        <v>16</v>
      </c>
      <c r="G265" s="8">
        <v>5</v>
      </c>
      <c r="H265" s="8" t="s">
        <v>17</v>
      </c>
      <c r="I265" s="8" t="s">
        <v>25</v>
      </c>
      <c r="J265" s="8" t="s">
        <v>26</v>
      </c>
      <c r="K265" s="8" t="s">
        <v>50</v>
      </c>
      <c r="L265" s="10">
        <v>4373</v>
      </c>
      <c r="M265" s="17" t="s">
        <v>70</v>
      </c>
      <c r="N265" s="6">
        <v>2021</v>
      </c>
    </row>
    <row r="266" spans="1:14" x14ac:dyDescent="0.25">
      <c r="A266" s="6">
        <v>265</v>
      </c>
      <c r="B266" s="7">
        <v>44273</v>
      </c>
      <c r="C266" s="8" t="s">
        <v>61</v>
      </c>
      <c r="D266" s="8" t="s">
        <v>14</v>
      </c>
      <c r="E266" s="9" t="s">
        <v>15</v>
      </c>
      <c r="F266" s="8" t="s">
        <v>63</v>
      </c>
      <c r="G266" s="8">
        <v>0.5</v>
      </c>
      <c r="H266" s="8" t="s">
        <v>57</v>
      </c>
      <c r="I266" s="8" t="s">
        <v>25</v>
      </c>
      <c r="J266" s="8" t="s">
        <v>19</v>
      </c>
      <c r="K266" s="8" t="s">
        <v>52</v>
      </c>
      <c r="L266" s="10">
        <v>2854</v>
      </c>
      <c r="M266" s="17" t="s">
        <v>70</v>
      </c>
      <c r="N266" s="6">
        <v>2021</v>
      </c>
    </row>
    <row r="267" spans="1:14" x14ac:dyDescent="0.25">
      <c r="A267" s="6">
        <v>266</v>
      </c>
      <c r="B267" s="7">
        <v>44274</v>
      </c>
      <c r="C267" s="8" t="s">
        <v>44</v>
      </c>
      <c r="D267" s="8" t="s">
        <v>33</v>
      </c>
      <c r="E267" s="9" t="s">
        <v>34</v>
      </c>
      <c r="F267" s="8" t="s">
        <v>62</v>
      </c>
      <c r="G267" s="8">
        <v>0</v>
      </c>
      <c r="H267" s="8" t="s">
        <v>24</v>
      </c>
      <c r="I267" s="8" t="s">
        <v>39</v>
      </c>
      <c r="J267" s="8" t="s">
        <v>19</v>
      </c>
      <c r="K267" s="8" t="s">
        <v>59</v>
      </c>
      <c r="L267" s="10">
        <v>217</v>
      </c>
      <c r="M267" s="17" t="s">
        <v>70</v>
      </c>
      <c r="N267" s="6">
        <v>2021</v>
      </c>
    </row>
    <row r="268" spans="1:14" x14ac:dyDescent="0.25">
      <c r="A268" s="6">
        <v>267</v>
      </c>
      <c r="B268" s="7">
        <v>44277</v>
      </c>
      <c r="C268" s="8" t="s">
        <v>32</v>
      </c>
      <c r="D268" s="8" t="s">
        <v>14</v>
      </c>
      <c r="E268" s="9" t="s">
        <v>15</v>
      </c>
      <c r="F268" s="8" t="s">
        <v>16</v>
      </c>
      <c r="G268" s="8">
        <v>0</v>
      </c>
      <c r="H268" s="8" t="s">
        <v>55</v>
      </c>
      <c r="I268" s="8" t="s">
        <v>53</v>
      </c>
      <c r="J268" s="8" t="s">
        <v>46</v>
      </c>
      <c r="K268" s="8" t="s">
        <v>59</v>
      </c>
      <c r="L268" s="10">
        <v>804</v>
      </c>
      <c r="M268" s="17" t="s">
        <v>70</v>
      </c>
      <c r="N268" s="6">
        <v>2021</v>
      </c>
    </row>
    <row r="269" spans="1:14" x14ac:dyDescent="0.25">
      <c r="A269" s="6">
        <v>268</v>
      </c>
      <c r="B269" s="7">
        <v>44278</v>
      </c>
      <c r="C269" s="8" t="s">
        <v>44</v>
      </c>
      <c r="D269" s="8" t="s">
        <v>14</v>
      </c>
      <c r="E269" s="9" t="s">
        <v>47</v>
      </c>
      <c r="F269" s="8" t="s">
        <v>36</v>
      </c>
      <c r="G269" s="8">
        <v>0</v>
      </c>
      <c r="H269" s="8" t="s">
        <v>60</v>
      </c>
      <c r="I269" s="8" t="s">
        <v>53</v>
      </c>
      <c r="J269" s="8" t="s">
        <v>19</v>
      </c>
      <c r="K269" s="8" t="s">
        <v>54</v>
      </c>
      <c r="L269" s="10">
        <v>668</v>
      </c>
      <c r="M269" s="17" t="s">
        <v>70</v>
      </c>
      <c r="N269" s="6">
        <v>2021</v>
      </c>
    </row>
    <row r="270" spans="1:14" x14ac:dyDescent="0.25">
      <c r="A270" s="6">
        <v>269</v>
      </c>
      <c r="B270" s="7">
        <v>44286</v>
      </c>
      <c r="C270" s="8" t="s">
        <v>41</v>
      </c>
      <c r="D270" s="8" t="s">
        <v>14</v>
      </c>
      <c r="E270" s="9" t="s">
        <v>34</v>
      </c>
      <c r="F270" s="8" t="s">
        <v>35</v>
      </c>
      <c r="G270" s="8">
        <v>0</v>
      </c>
      <c r="H270" s="8" t="s">
        <v>55</v>
      </c>
      <c r="I270" s="8" t="s">
        <v>18</v>
      </c>
      <c r="J270" s="8" t="s">
        <v>26</v>
      </c>
      <c r="K270" s="8" t="s">
        <v>31</v>
      </c>
      <c r="L270" s="10">
        <v>0</v>
      </c>
      <c r="M270" s="17" t="s">
        <v>70</v>
      </c>
      <c r="N270" s="6">
        <v>2021</v>
      </c>
    </row>
    <row r="271" spans="1:14" x14ac:dyDescent="0.25">
      <c r="A271" s="6">
        <v>270</v>
      </c>
      <c r="B271" s="7">
        <v>44286</v>
      </c>
      <c r="C271" s="8" t="s">
        <v>28</v>
      </c>
      <c r="D271" s="8" t="s">
        <v>33</v>
      </c>
      <c r="E271" s="9" t="s">
        <v>34</v>
      </c>
      <c r="F271" s="8" t="s">
        <v>23</v>
      </c>
      <c r="G271" s="8">
        <v>5</v>
      </c>
      <c r="H271" s="8" t="s">
        <v>37</v>
      </c>
      <c r="I271" s="8" t="s">
        <v>25</v>
      </c>
      <c r="J271" s="8" t="s">
        <v>46</v>
      </c>
      <c r="K271" s="8" t="s">
        <v>59</v>
      </c>
      <c r="L271" s="10">
        <v>1993</v>
      </c>
      <c r="M271" s="17" t="s">
        <v>70</v>
      </c>
      <c r="N271" s="6">
        <v>2021</v>
      </c>
    </row>
    <row r="272" spans="1:14" x14ac:dyDescent="0.25">
      <c r="A272" s="6">
        <v>271</v>
      </c>
      <c r="B272" s="7">
        <v>44287</v>
      </c>
      <c r="C272" s="8" t="s">
        <v>56</v>
      </c>
      <c r="D272" s="8" t="s">
        <v>14</v>
      </c>
      <c r="E272" s="9" t="s">
        <v>34</v>
      </c>
      <c r="F272" s="8" t="s">
        <v>23</v>
      </c>
      <c r="G272" s="8">
        <v>0</v>
      </c>
      <c r="H272" s="8" t="s">
        <v>24</v>
      </c>
      <c r="I272" s="8" t="s">
        <v>53</v>
      </c>
      <c r="J272" s="8" t="s">
        <v>46</v>
      </c>
      <c r="K272" s="8" t="s">
        <v>27</v>
      </c>
      <c r="L272" s="10">
        <v>4836</v>
      </c>
      <c r="M272" s="17" t="s">
        <v>71</v>
      </c>
      <c r="N272" s="6">
        <v>2021</v>
      </c>
    </row>
    <row r="273" spans="1:14" x14ac:dyDescent="0.25">
      <c r="A273" s="6">
        <v>272</v>
      </c>
      <c r="B273" s="7">
        <v>44287</v>
      </c>
      <c r="C273" s="8" t="s">
        <v>28</v>
      </c>
      <c r="D273" s="8" t="s">
        <v>14</v>
      </c>
      <c r="E273" s="9" t="s">
        <v>42</v>
      </c>
      <c r="F273" s="8" t="s">
        <v>38</v>
      </c>
      <c r="G273" s="8">
        <v>0</v>
      </c>
      <c r="H273" s="8" t="s">
        <v>60</v>
      </c>
      <c r="I273" s="8" t="s">
        <v>18</v>
      </c>
      <c r="J273" s="8" t="s">
        <v>26</v>
      </c>
      <c r="K273" s="8" t="s">
        <v>52</v>
      </c>
      <c r="L273" s="10">
        <v>0</v>
      </c>
      <c r="M273" s="17" t="s">
        <v>71</v>
      </c>
      <c r="N273" s="6">
        <v>2021</v>
      </c>
    </row>
    <row r="274" spans="1:14" x14ac:dyDescent="0.25">
      <c r="A274" s="6">
        <v>273</v>
      </c>
      <c r="B274" s="7">
        <v>44288</v>
      </c>
      <c r="C274" s="8" t="s">
        <v>56</v>
      </c>
      <c r="D274" s="8" t="s">
        <v>33</v>
      </c>
      <c r="E274" s="9" t="s">
        <v>15</v>
      </c>
      <c r="F274" s="8" t="s">
        <v>63</v>
      </c>
      <c r="G274" s="8">
        <v>0</v>
      </c>
      <c r="H274" s="8" t="s">
        <v>37</v>
      </c>
      <c r="I274" s="8" t="s">
        <v>39</v>
      </c>
      <c r="J274" s="8" t="s">
        <v>46</v>
      </c>
      <c r="K274" s="8" t="s">
        <v>31</v>
      </c>
      <c r="L274" s="10">
        <v>342</v>
      </c>
      <c r="M274" s="17" t="s">
        <v>71</v>
      </c>
      <c r="N274" s="6">
        <v>2021</v>
      </c>
    </row>
    <row r="275" spans="1:14" x14ac:dyDescent="0.25">
      <c r="A275" s="6">
        <v>274</v>
      </c>
      <c r="B275" s="7">
        <v>44292</v>
      </c>
      <c r="C275" s="8" t="s">
        <v>21</v>
      </c>
      <c r="D275" s="8" t="s">
        <v>14</v>
      </c>
      <c r="E275" s="9" t="s">
        <v>15</v>
      </c>
      <c r="F275" s="8" t="s">
        <v>62</v>
      </c>
      <c r="G275" s="8">
        <v>5</v>
      </c>
      <c r="H275" s="8" t="s">
        <v>60</v>
      </c>
      <c r="I275" s="8" t="s">
        <v>25</v>
      </c>
      <c r="J275" s="8" t="s">
        <v>26</v>
      </c>
      <c r="K275" s="8" t="s">
        <v>27</v>
      </c>
      <c r="L275" s="10">
        <v>2468</v>
      </c>
      <c r="M275" s="17" t="s">
        <v>71</v>
      </c>
      <c r="N275" s="6">
        <v>2021</v>
      </c>
    </row>
    <row r="276" spans="1:14" x14ac:dyDescent="0.25">
      <c r="A276" s="6">
        <v>275</v>
      </c>
      <c r="B276" s="7">
        <v>44294</v>
      </c>
      <c r="C276" s="8" t="s">
        <v>51</v>
      </c>
      <c r="D276" s="8" t="s">
        <v>14</v>
      </c>
      <c r="E276" s="9" t="s">
        <v>47</v>
      </c>
      <c r="F276" s="8" t="s">
        <v>29</v>
      </c>
      <c r="G276" s="8">
        <v>0</v>
      </c>
      <c r="H276" s="8" t="s">
        <v>17</v>
      </c>
      <c r="I276" s="8" t="s">
        <v>53</v>
      </c>
      <c r="J276" s="8" t="s">
        <v>46</v>
      </c>
      <c r="K276" s="8" t="s">
        <v>27</v>
      </c>
      <c r="L276" s="10">
        <v>2990</v>
      </c>
      <c r="M276" s="17" t="s">
        <v>71</v>
      </c>
      <c r="N276" s="6">
        <v>2021</v>
      </c>
    </row>
    <row r="277" spans="1:14" x14ac:dyDescent="0.25">
      <c r="A277" s="6">
        <v>276</v>
      </c>
      <c r="B277" s="7">
        <v>44295</v>
      </c>
      <c r="C277" s="8" t="s">
        <v>21</v>
      </c>
      <c r="D277" s="8" t="s">
        <v>14</v>
      </c>
      <c r="E277" s="9" t="s">
        <v>15</v>
      </c>
      <c r="F277" s="8" t="s">
        <v>36</v>
      </c>
      <c r="G277" s="8">
        <v>0</v>
      </c>
      <c r="H277" s="8" t="s">
        <v>55</v>
      </c>
      <c r="I277" s="8" t="s">
        <v>53</v>
      </c>
      <c r="J277" s="8" t="s">
        <v>26</v>
      </c>
      <c r="K277" s="8" t="s">
        <v>40</v>
      </c>
      <c r="L277" s="10">
        <v>4570</v>
      </c>
      <c r="M277" s="17" t="s">
        <v>71</v>
      </c>
      <c r="N277" s="6">
        <v>2021</v>
      </c>
    </row>
    <row r="278" spans="1:14" x14ac:dyDescent="0.25">
      <c r="A278" s="6">
        <v>277</v>
      </c>
      <c r="B278" s="7">
        <v>44297</v>
      </c>
      <c r="C278" s="8" t="s">
        <v>51</v>
      </c>
      <c r="D278" s="8" t="s">
        <v>14</v>
      </c>
      <c r="E278" s="9" t="s">
        <v>34</v>
      </c>
      <c r="F278" s="8" t="s">
        <v>62</v>
      </c>
      <c r="G278" s="8">
        <v>0</v>
      </c>
      <c r="H278" s="8" t="s">
        <v>60</v>
      </c>
      <c r="I278" s="8" t="s">
        <v>53</v>
      </c>
      <c r="J278" s="8" t="s">
        <v>46</v>
      </c>
      <c r="K278" s="8" t="s">
        <v>54</v>
      </c>
      <c r="L278" s="10">
        <v>2022</v>
      </c>
      <c r="M278" s="17" t="s">
        <v>71</v>
      </c>
      <c r="N278" s="6">
        <v>2021</v>
      </c>
    </row>
    <row r="279" spans="1:14" x14ac:dyDescent="0.25">
      <c r="A279" s="6">
        <v>278</v>
      </c>
      <c r="B279" s="7">
        <v>44299</v>
      </c>
      <c r="C279" s="8" t="s">
        <v>61</v>
      </c>
      <c r="D279" s="8" t="s">
        <v>14</v>
      </c>
      <c r="E279" s="9" t="s">
        <v>47</v>
      </c>
      <c r="F279" s="8" t="s">
        <v>23</v>
      </c>
      <c r="G279" s="8">
        <v>4</v>
      </c>
      <c r="H279" s="8" t="s">
        <v>30</v>
      </c>
      <c r="I279" s="8" t="s">
        <v>25</v>
      </c>
      <c r="J279" s="8" t="s">
        <v>19</v>
      </c>
      <c r="K279" s="8" t="s">
        <v>59</v>
      </c>
      <c r="L279" s="10">
        <v>2705</v>
      </c>
      <c r="M279" s="17" t="s">
        <v>71</v>
      </c>
      <c r="N279" s="6">
        <v>2021</v>
      </c>
    </row>
    <row r="280" spans="1:14" x14ac:dyDescent="0.25">
      <c r="A280" s="6">
        <v>279</v>
      </c>
      <c r="B280" s="7">
        <v>44300</v>
      </c>
      <c r="C280" s="8" t="s">
        <v>65</v>
      </c>
      <c r="D280" s="8" t="s">
        <v>14</v>
      </c>
      <c r="E280" s="9" t="s">
        <v>22</v>
      </c>
      <c r="F280" s="8" t="s">
        <v>23</v>
      </c>
      <c r="G280" s="8">
        <v>2.5</v>
      </c>
      <c r="H280" s="8" t="s">
        <v>60</v>
      </c>
      <c r="I280" s="8" t="s">
        <v>25</v>
      </c>
      <c r="J280" s="8" t="s">
        <v>19</v>
      </c>
      <c r="K280" s="8" t="s">
        <v>40</v>
      </c>
      <c r="L280" s="10">
        <v>819</v>
      </c>
      <c r="M280" s="17" t="s">
        <v>71</v>
      </c>
      <c r="N280" s="6">
        <v>2021</v>
      </c>
    </row>
    <row r="281" spans="1:14" x14ac:dyDescent="0.25">
      <c r="A281" s="6">
        <v>280</v>
      </c>
      <c r="B281" s="7">
        <v>44301</v>
      </c>
      <c r="C281" s="8" t="s">
        <v>28</v>
      </c>
      <c r="D281" s="8" t="s">
        <v>33</v>
      </c>
      <c r="E281" s="9" t="s">
        <v>47</v>
      </c>
      <c r="F281" s="8" t="s">
        <v>16</v>
      </c>
      <c r="G281" s="8">
        <v>0</v>
      </c>
      <c r="H281" s="8" t="s">
        <v>60</v>
      </c>
      <c r="I281" s="8" t="s">
        <v>18</v>
      </c>
      <c r="J281" s="8" t="s">
        <v>46</v>
      </c>
      <c r="K281" s="8" t="s">
        <v>31</v>
      </c>
      <c r="L281" s="10">
        <v>0</v>
      </c>
      <c r="M281" s="17" t="s">
        <v>71</v>
      </c>
      <c r="N281" s="6">
        <v>2021</v>
      </c>
    </row>
    <row r="282" spans="1:14" x14ac:dyDescent="0.25">
      <c r="A282" s="6">
        <v>281</v>
      </c>
      <c r="B282" s="7">
        <v>44302</v>
      </c>
      <c r="C282" s="8" t="s">
        <v>64</v>
      </c>
      <c r="D282" s="8" t="s">
        <v>14</v>
      </c>
      <c r="E282" s="9" t="s">
        <v>47</v>
      </c>
      <c r="F282" s="8" t="s">
        <v>29</v>
      </c>
      <c r="G282" s="8">
        <v>0</v>
      </c>
      <c r="H282" s="8" t="s">
        <v>45</v>
      </c>
      <c r="I282" s="8" t="s">
        <v>39</v>
      </c>
      <c r="J282" s="8" t="s">
        <v>46</v>
      </c>
      <c r="K282" s="8" t="s">
        <v>43</v>
      </c>
      <c r="L282" s="10">
        <v>37</v>
      </c>
      <c r="M282" s="17" t="s">
        <v>71</v>
      </c>
      <c r="N282" s="6">
        <v>2021</v>
      </c>
    </row>
    <row r="283" spans="1:14" x14ac:dyDescent="0.25">
      <c r="A283" s="6">
        <v>282</v>
      </c>
      <c r="B283" s="7">
        <v>44303</v>
      </c>
      <c r="C283" s="8" t="s">
        <v>32</v>
      </c>
      <c r="D283" s="8" t="s">
        <v>14</v>
      </c>
      <c r="E283" s="9" t="s">
        <v>15</v>
      </c>
      <c r="F283" s="8" t="s">
        <v>36</v>
      </c>
      <c r="G283" s="8">
        <v>0</v>
      </c>
      <c r="H283" s="8" t="s">
        <v>24</v>
      </c>
      <c r="I283" s="8" t="s">
        <v>53</v>
      </c>
      <c r="J283" s="8" t="s">
        <v>46</v>
      </c>
      <c r="K283" s="8" t="s">
        <v>31</v>
      </c>
      <c r="L283" s="10">
        <v>4741</v>
      </c>
      <c r="M283" s="17" t="s">
        <v>71</v>
      </c>
      <c r="N283" s="6">
        <v>2021</v>
      </c>
    </row>
    <row r="284" spans="1:14" x14ac:dyDescent="0.25">
      <c r="A284" s="6">
        <v>283</v>
      </c>
      <c r="B284" s="7">
        <v>44306</v>
      </c>
      <c r="C284" s="8" t="s">
        <v>58</v>
      </c>
      <c r="D284" s="8" t="s">
        <v>14</v>
      </c>
      <c r="E284" s="9" t="s">
        <v>34</v>
      </c>
      <c r="F284" s="8" t="s">
        <v>29</v>
      </c>
      <c r="G284" s="8">
        <v>0</v>
      </c>
      <c r="H284" s="8" t="s">
        <v>55</v>
      </c>
      <c r="I284" s="8" t="s">
        <v>53</v>
      </c>
      <c r="J284" s="8" t="s">
        <v>26</v>
      </c>
      <c r="K284" s="8" t="s">
        <v>43</v>
      </c>
      <c r="L284" s="10">
        <v>2063</v>
      </c>
      <c r="M284" s="17" t="s">
        <v>71</v>
      </c>
      <c r="N284" s="6">
        <v>2021</v>
      </c>
    </row>
    <row r="285" spans="1:14" x14ac:dyDescent="0.25">
      <c r="A285" s="6">
        <v>284</v>
      </c>
      <c r="B285" s="7">
        <v>44306</v>
      </c>
      <c r="C285" s="8" t="s">
        <v>21</v>
      </c>
      <c r="D285" s="8" t="s">
        <v>14</v>
      </c>
      <c r="E285" s="9" t="s">
        <v>22</v>
      </c>
      <c r="F285" s="8" t="s">
        <v>38</v>
      </c>
      <c r="G285" s="8">
        <v>0</v>
      </c>
      <c r="H285" s="8" t="s">
        <v>17</v>
      </c>
      <c r="I285" s="8" t="s">
        <v>39</v>
      </c>
      <c r="J285" s="8" t="s">
        <v>26</v>
      </c>
      <c r="K285" s="8" t="s">
        <v>20</v>
      </c>
      <c r="L285" s="10">
        <v>359</v>
      </c>
      <c r="M285" s="17" t="s">
        <v>71</v>
      </c>
      <c r="N285" s="6">
        <v>2021</v>
      </c>
    </row>
    <row r="286" spans="1:14" x14ac:dyDescent="0.25">
      <c r="A286" s="6">
        <v>285</v>
      </c>
      <c r="B286" s="7">
        <v>44307</v>
      </c>
      <c r="C286" s="8" t="s">
        <v>13</v>
      </c>
      <c r="D286" s="8" t="s">
        <v>14</v>
      </c>
      <c r="E286" s="9" t="s">
        <v>47</v>
      </c>
      <c r="F286" s="8" t="s">
        <v>35</v>
      </c>
      <c r="G286" s="8">
        <v>5</v>
      </c>
      <c r="H286" s="8" t="s">
        <v>57</v>
      </c>
      <c r="I286" s="8" t="s">
        <v>25</v>
      </c>
      <c r="J286" s="8" t="s">
        <v>26</v>
      </c>
      <c r="K286" s="8" t="s">
        <v>59</v>
      </c>
      <c r="L286" s="10">
        <v>1119</v>
      </c>
      <c r="M286" s="17" t="s">
        <v>71</v>
      </c>
      <c r="N286" s="6">
        <v>2021</v>
      </c>
    </row>
    <row r="287" spans="1:14" x14ac:dyDescent="0.25">
      <c r="A287" s="6">
        <v>286</v>
      </c>
      <c r="B287" s="7">
        <v>44310</v>
      </c>
      <c r="C287" s="8" t="s">
        <v>58</v>
      </c>
      <c r="D287" s="8" t="s">
        <v>14</v>
      </c>
      <c r="E287" s="9" t="s">
        <v>47</v>
      </c>
      <c r="F287" s="8" t="s">
        <v>29</v>
      </c>
      <c r="G287" s="8">
        <v>3</v>
      </c>
      <c r="H287" s="8" t="s">
        <v>49</v>
      </c>
      <c r="I287" s="8" t="s">
        <v>25</v>
      </c>
      <c r="J287" s="8" t="s">
        <v>26</v>
      </c>
      <c r="K287" s="8" t="s">
        <v>43</v>
      </c>
      <c r="L287" s="10">
        <v>2851</v>
      </c>
      <c r="M287" s="17" t="s">
        <v>71</v>
      </c>
      <c r="N287" s="6">
        <v>2021</v>
      </c>
    </row>
    <row r="288" spans="1:14" x14ac:dyDescent="0.25">
      <c r="A288" s="6">
        <v>287</v>
      </c>
      <c r="B288" s="7">
        <v>44311</v>
      </c>
      <c r="C288" s="8" t="s">
        <v>51</v>
      </c>
      <c r="D288" s="8" t="s">
        <v>14</v>
      </c>
      <c r="E288" s="9" t="s">
        <v>47</v>
      </c>
      <c r="F288" s="8" t="s">
        <v>35</v>
      </c>
      <c r="G288" s="8">
        <v>0</v>
      </c>
      <c r="H288" s="8" t="s">
        <v>57</v>
      </c>
      <c r="I288" s="8" t="s">
        <v>18</v>
      </c>
      <c r="J288" s="8" t="s">
        <v>46</v>
      </c>
      <c r="K288" s="8" t="s">
        <v>43</v>
      </c>
      <c r="L288" s="10">
        <v>0</v>
      </c>
      <c r="M288" s="17" t="s">
        <v>71</v>
      </c>
      <c r="N288" s="6">
        <v>2021</v>
      </c>
    </row>
    <row r="289" spans="1:14" x14ac:dyDescent="0.25">
      <c r="A289" s="6">
        <v>288</v>
      </c>
      <c r="B289" s="7">
        <v>44317</v>
      </c>
      <c r="C289" s="8" t="s">
        <v>56</v>
      </c>
      <c r="D289" s="8" t="s">
        <v>14</v>
      </c>
      <c r="E289" s="9" t="s">
        <v>15</v>
      </c>
      <c r="F289" s="8" t="s">
        <v>16</v>
      </c>
      <c r="G289" s="8">
        <v>0</v>
      </c>
      <c r="H289" s="8" t="s">
        <v>55</v>
      </c>
      <c r="I289" s="8" t="s">
        <v>53</v>
      </c>
      <c r="J289" s="8" t="s">
        <v>19</v>
      </c>
      <c r="K289" s="8" t="s">
        <v>20</v>
      </c>
      <c r="L289" s="10">
        <v>1872</v>
      </c>
      <c r="M289" s="17" t="s">
        <v>72</v>
      </c>
      <c r="N289" s="6">
        <v>2021</v>
      </c>
    </row>
    <row r="290" spans="1:14" x14ac:dyDescent="0.25">
      <c r="A290" s="6">
        <v>289</v>
      </c>
      <c r="B290" s="7">
        <v>44320</v>
      </c>
      <c r="C290" s="8" t="s">
        <v>32</v>
      </c>
      <c r="D290" s="8" t="s">
        <v>14</v>
      </c>
      <c r="E290" s="9" t="s">
        <v>34</v>
      </c>
      <c r="F290" s="8" t="s">
        <v>48</v>
      </c>
      <c r="G290" s="8">
        <v>3</v>
      </c>
      <c r="H290" s="8" t="s">
        <v>24</v>
      </c>
      <c r="I290" s="8" t="s">
        <v>25</v>
      </c>
      <c r="J290" s="8" t="s">
        <v>26</v>
      </c>
      <c r="K290" s="8" t="s">
        <v>43</v>
      </c>
      <c r="L290" s="10">
        <v>4303</v>
      </c>
      <c r="M290" s="17" t="s">
        <v>72</v>
      </c>
      <c r="N290" s="6">
        <v>2021</v>
      </c>
    </row>
    <row r="291" spans="1:14" x14ac:dyDescent="0.25">
      <c r="A291" s="6">
        <v>290</v>
      </c>
      <c r="B291" s="7">
        <v>44322</v>
      </c>
      <c r="C291" s="8" t="s">
        <v>13</v>
      </c>
      <c r="D291" s="8" t="s">
        <v>14</v>
      </c>
      <c r="E291" s="9" t="s">
        <v>47</v>
      </c>
      <c r="F291" s="8" t="s">
        <v>16</v>
      </c>
      <c r="G291" s="8">
        <v>0</v>
      </c>
      <c r="H291" s="8" t="s">
        <v>17</v>
      </c>
      <c r="I291" s="8" t="s">
        <v>53</v>
      </c>
      <c r="J291" s="8" t="s">
        <v>19</v>
      </c>
      <c r="K291" s="8" t="s">
        <v>59</v>
      </c>
      <c r="L291" s="10">
        <v>1884</v>
      </c>
      <c r="M291" s="17" t="s">
        <v>72</v>
      </c>
      <c r="N291" s="6">
        <v>2021</v>
      </c>
    </row>
    <row r="292" spans="1:14" x14ac:dyDescent="0.25">
      <c r="A292" s="6">
        <v>291</v>
      </c>
      <c r="B292" s="7">
        <v>44323</v>
      </c>
      <c r="C292" s="8" t="s">
        <v>51</v>
      </c>
      <c r="D292" s="8" t="s">
        <v>14</v>
      </c>
      <c r="E292" s="9" t="s">
        <v>22</v>
      </c>
      <c r="F292" s="8" t="s">
        <v>29</v>
      </c>
      <c r="G292" s="8">
        <v>0.5</v>
      </c>
      <c r="H292" s="8" t="s">
        <v>30</v>
      </c>
      <c r="I292" s="8" t="s">
        <v>25</v>
      </c>
      <c r="J292" s="8" t="s">
        <v>26</v>
      </c>
      <c r="K292" s="8" t="s">
        <v>31</v>
      </c>
      <c r="L292" s="10">
        <v>1084</v>
      </c>
      <c r="M292" s="17" t="s">
        <v>72</v>
      </c>
      <c r="N292" s="6">
        <v>2021</v>
      </c>
    </row>
    <row r="293" spans="1:14" x14ac:dyDescent="0.25">
      <c r="A293" s="6">
        <v>292</v>
      </c>
      <c r="B293" s="7">
        <v>44324</v>
      </c>
      <c r="C293" s="8" t="s">
        <v>65</v>
      </c>
      <c r="D293" s="8" t="s">
        <v>14</v>
      </c>
      <c r="E293" s="9" t="s">
        <v>22</v>
      </c>
      <c r="F293" s="8" t="s">
        <v>35</v>
      </c>
      <c r="G293" s="8">
        <v>0</v>
      </c>
      <c r="H293" s="8" t="s">
        <v>37</v>
      </c>
      <c r="I293" s="8" t="s">
        <v>18</v>
      </c>
      <c r="J293" s="8" t="s">
        <v>26</v>
      </c>
      <c r="K293" s="8" t="s">
        <v>40</v>
      </c>
      <c r="L293" s="10">
        <v>0</v>
      </c>
      <c r="M293" s="17" t="s">
        <v>72</v>
      </c>
      <c r="N293" s="6">
        <v>2021</v>
      </c>
    </row>
    <row r="294" spans="1:14" x14ac:dyDescent="0.25">
      <c r="A294" s="6">
        <v>293</v>
      </c>
      <c r="B294" s="7">
        <v>44324</v>
      </c>
      <c r="C294" s="8" t="s">
        <v>58</v>
      </c>
      <c r="D294" s="8" t="s">
        <v>14</v>
      </c>
      <c r="E294" s="9" t="s">
        <v>34</v>
      </c>
      <c r="F294" s="8" t="s">
        <v>35</v>
      </c>
      <c r="G294" s="8">
        <v>0</v>
      </c>
      <c r="H294" s="8" t="s">
        <v>30</v>
      </c>
      <c r="I294" s="8" t="s">
        <v>39</v>
      </c>
      <c r="J294" s="8" t="s">
        <v>46</v>
      </c>
      <c r="K294" s="8" t="s">
        <v>50</v>
      </c>
      <c r="L294" s="10">
        <v>152</v>
      </c>
      <c r="M294" s="17" t="s">
        <v>72</v>
      </c>
      <c r="N294" s="6">
        <v>2021</v>
      </c>
    </row>
    <row r="295" spans="1:14" x14ac:dyDescent="0.25">
      <c r="A295" s="6">
        <v>294</v>
      </c>
      <c r="B295" s="7">
        <v>44326</v>
      </c>
      <c r="C295" s="8" t="s">
        <v>51</v>
      </c>
      <c r="D295" s="8" t="s">
        <v>14</v>
      </c>
      <c r="E295" s="9" t="s">
        <v>47</v>
      </c>
      <c r="F295" s="8" t="s">
        <v>29</v>
      </c>
      <c r="G295" s="8">
        <v>0</v>
      </c>
      <c r="H295" s="8" t="s">
        <v>57</v>
      </c>
      <c r="I295" s="8" t="s">
        <v>18</v>
      </c>
      <c r="J295" s="8" t="s">
        <v>19</v>
      </c>
      <c r="K295" s="8" t="s">
        <v>59</v>
      </c>
      <c r="L295" s="10">
        <v>0</v>
      </c>
      <c r="M295" s="17" t="s">
        <v>72</v>
      </c>
      <c r="N295" s="6">
        <v>2021</v>
      </c>
    </row>
    <row r="296" spans="1:14" x14ac:dyDescent="0.25">
      <c r="A296" s="6">
        <v>295</v>
      </c>
      <c r="B296" s="7">
        <v>44328</v>
      </c>
      <c r="C296" s="8" t="s">
        <v>13</v>
      </c>
      <c r="D296" s="8" t="s">
        <v>14</v>
      </c>
      <c r="E296" s="9" t="s">
        <v>42</v>
      </c>
      <c r="F296" s="8" t="s">
        <v>23</v>
      </c>
      <c r="G296" s="8">
        <v>0</v>
      </c>
      <c r="H296" s="8" t="s">
        <v>37</v>
      </c>
      <c r="I296" s="8" t="s">
        <v>18</v>
      </c>
      <c r="J296" s="8" t="s">
        <v>19</v>
      </c>
      <c r="K296" s="8" t="s">
        <v>43</v>
      </c>
      <c r="L296" s="10">
        <v>0</v>
      </c>
      <c r="M296" s="17" t="s">
        <v>72</v>
      </c>
      <c r="N296" s="6">
        <v>2021</v>
      </c>
    </row>
    <row r="297" spans="1:14" x14ac:dyDescent="0.25">
      <c r="A297" s="6">
        <v>296</v>
      </c>
      <c r="B297" s="7">
        <v>44335</v>
      </c>
      <c r="C297" s="8" t="s">
        <v>44</v>
      </c>
      <c r="D297" s="8" t="s">
        <v>33</v>
      </c>
      <c r="E297" s="9" t="s">
        <v>34</v>
      </c>
      <c r="F297" s="8" t="s">
        <v>62</v>
      </c>
      <c r="G297" s="8">
        <v>0</v>
      </c>
      <c r="H297" s="8" t="s">
        <v>57</v>
      </c>
      <c r="I297" s="8" t="s">
        <v>53</v>
      </c>
      <c r="J297" s="8" t="s">
        <v>19</v>
      </c>
      <c r="K297" s="8" t="s">
        <v>52</v>
      </c>
      <c r="L297" s="10">
        <v>3286</v>
      </c>
      <c r="M297" s="17" t="s">
        <v>72</v>
      </c>
      <c r="N297" s="6">
        <v>2021</v>
      </c>
    </row>
    <row r="298" spans="1:14" x14ac:dyDescent="0.25">
      <c r="A298" s="6">
        <v>297</v>
      </c>
      <c r="B298" s="7">
        <v>44335</v>
      </c>
      <c r="C298" s="8" t="s">
        <v>64</v>
      </c>
      <c r="D298" s="8" t="s">
        <v>14</v>
      </c>
      <c r="E298" s="9" t="s">
        <v>47</v>
      </c>
      <c r="F298" s="8" t="s">
        <v>35</v>
      </c>
      <c r="G298" s="8">
        <v>0</v>
      </c>
      <c r="H298" s="8" t="s">
        <v>45</v>
      </c>
      <c r="I298" s="8" t="s">
        <v>18</v>
      </c>
      <c r="J298" s="8" t="s">
        <v>26</v>
      </c>
      <c r="K298" s="8" t="s">
        <v>59</v>
      </c>
      <c r="L298" s="10">
        <v>0</v>
      </c>
      <c r="M298" s="17" t="s">
        <v>72</v>
      </c>
      <c r="N298" s="6">
        <v>2021</v>
      </c>
    </row>
    <row r="299" spans="1:14" x14ac:dyDescent="0.25">
      <c r="A299" s="6">
        <v>298</v>
      </c>
      <c r="B299" s="7">
        <v>44336</v>
      </c>
      <c r="C299" s="8" t="s">
        <v>61</v>
      </c>
      <c r="D299" s="8" t="s">
        <v>14</v>
      </c>
      <c r="E299" s="9" t="s">
        <v>22</v>
      </c>
      <c r="F299" s="8" t="s">
        <v>23</v>
      </c>
      <c r="G299" s="8">
        <v>0</v>
      </c>
      <c r="H299" s="8" t="s">
        <v>17</v>
      </c>
      <c r="I299" s="8" t="s">
        <v>18</v>
      </c>
      <c r="J299" s="8" t="s">
        <v>19</v>
      </c>
      <c r="K299" s="8" t="s">
        <v>20</v>
      </c>
      <c r="L299" s="10">
        <v>0</v>
      </c>
      <c r="M299" s="17" t="s">
        <v>72</v>
      </c>
      <c r="N299" s="6">
        <v>2021</v>
      </c>
    </row>
    <row r="300" spans="1:14" x14ac:dyDescent="0.25">
      <c r="A300" s="6">
        <v>299</v>
      </c>
      <c r="B300" s="7">
        <v>44336</v>
      </c>
      <c r="C300" s="8" t="s">
        <v>65</v>
      </c>
      <c r="D300" s="8" t="s">
        <v>14</v>
      </c>
      <c r="E300" s="9" t="s">
        <v>34</v>
      </c>
      <c r="F300" s="8" t="s">
        <v>48</v>
      </c>
      <c r="G300" s="8">
        <v>0</v>
      </c>
      <c r="H300" s="8" t="s">
        <v>30</v>
      </c>
      <c r="I300" s="8" t="s">
        <v>39</v>
      </c>
      <c r="J300" s="8" t="s">
        <v>46</v>
      </c>
      <c r="K300" s="8" t="s">
        <v>31</v>
      </c>
      <c r="L300" s="10">
        <v>60</v>
      </c>
      <c r="M300" s="17" t="s">
        <v>72</v>
      </c>
      <c r="N300" s="6">
        <v>2021</v>
      </c>
    </row>
    <row r="301" spans="1:14" x14ac:dyDescent="0.25">
      <c r="A301" s="6">
        <v>300</v>
      </c>
      <c r="B301" s="7">
        <v>44340</v>
      </c>
      <c r="C301" s="8" t="s">
        <v>61</v>
      </c>
      <c r="D301" s="8" t="s">
        <v>33</v>
      </c>
      <c r="E301" s="9" t="s">
        <v>15</v>
      </c>
      <c r="F301" s="8" t="s">
        <v>16</v>
      </c>
      <c r="G301" s="8">
        <v>0</v>
      </c>
      <c r="H301" s="8" t="s">
        <v>57</v>
      </c>
      <c r="I301" s="8" t="s">
        <v>18</v>
      </c>
      <c r="J301" s="8" t="s">
        <v>19</v>
      </c>
      <c r="K301" s="8" t="s">
        <v>31</v>
      </c>
      <c r="L301" s="10">
        <v>0</v>
      </c>
      <c r="M301" s="17" t="s">
        <v>72</v>
      </c>
      <c r="N301" s="6">
        <v>2021</v>
      </c>
    </row>
    <row r="302" spans="1:14" x14ac:dyDescent="0.25">
      <c r="A302" s="6">
        <v>301</v>
      </c>
      <c r="B302" s="7">
        <v>44342</v>
      </c>
      <c r="C302" s="8" t="s">
        <v>44</v>
      </c>
      <c r="D302" s="8" t="s">
        <v>14</v>
      </c>
      <c r="E302" s="9" t="s">
        <v>47</v>
      </c>
      <c r="F302" s="8" t="s">
        <v>48</v>
      </c>
      <c r="G302" s="8">
        <v>0</v>
      </c>
      <c r="H302" s="8" t="s">
        <v>57</v>
      </c>
      <c r="I302" s="8" t="s">
        <v>18</v>
      </c>
      <c r="J302" s="8" t="s">
        <v>19</v>
      </c>
      <c r="K302" s="8" t="s">
        <v>20</v>
      </c>
      <c r="L302" s="10">
        <v>0</v>
      </c>
      <c r="M302" s="17" t="s">
        <v>72</v>
      </c>
      <c r="N302" s="6">
        <v>2021</v>
      </c>
    </row>
    <row r="303" spans="1:14" x14ac:dyDescent="0.25">
      <c r="A303" s="6">
        <v>302</v>
      </c>
      <c r="B303" s="7">
        <v>44342</v>
      </c>
      <c r="C303" s="8" t="s">
        <v>44</v>
      </c>
      <c r="D303" s="8" t="s">
        <v>14</v>
      </c>
      <c r="E303" s="9" t="s">
        <v>15</v>
      </c>
      <c r="F303" s="8" t="s">
        <v>29</v>
      </c>
      <c r="G303" s="8">
        <v>0</v>
      </c>
      <c r="H303" s="8" t="s">
        <v>37</v>
      </c>
      <c r="I303" s="8" t="s">
        <v>53</v>
      </c>
      <c r="J303" s="8" t="s">
        <v>46</v>
      </c>
      <c r="K303" s="8" t="s">
        <v>40</v>
      </c>
      <c r="L303" s="10">
        <v>4213</v>
      </c>
      <c r="M303" s="17" t="s">
        <v>72</v>
      </c>
      <c r="N303" s="6">
        <v>2021</v>
      </c>
    </row>
    <row r="304" spans="1:14" x14ac:dyDescent="0.25">
      <c r="A304" s="6">
        <v>303</v>
      </c>
      <c r="B304" s="7">
        <v>44345</v>
      </c>
      <c r="C304" s="8" t="s">
        <v>41</v>
      </c>
      <c r="D304" s="8" t="s">
        <v>14</v>
      </c>
      <c r="E304" s="9" t="s">
        <v>42</v>
      </c>
      <c r="F304" s="8" t="s">
        <v>38</v>
      </c>
      <c r="G304" s="8">
        <v>1</v>
      </c>
      <c r="H304" s="8" t="s">
        <v>17</v>
      </c>
      <c r="I304" s="8" t="s">
        <v>25</v>
      </c>
      <c r="J304" s="8" t="s">
        <v>19</v>
      </c>
      <c r="K304" s="8" t="s">
        <v>54</v>
      </c>
      <c r="L304" s="10">
        <v>3657</v>
      </c>
      <c r="M304" s="17" t="s">
        <v>72</v>
      </c>
      <c r="N304" s="6">
        <v>2021</v>
      </c>
    </row>
    <row r="305" spans="1:14" x14ac:dyDescent="0.25">
      <c r="A305" s="6">
        <v>304</v>
      </c>
      <c r="B305" s="7">
        <v>44346</v>
      </c>
      <c r="C305" s="8" t="s">
        <v>44</v>
      </c>
      <c r="D305" s="8" t="s">
        <v>14</v>
      </c>
      <c r="E305" s="9" t="s">
        <v>34</v>
      </c>
      <c r="F305" s="8" t="s">
        <v>23</v>
      </c>
      <c r="G305" s="8">
        <v>0</v>
      </c>
      <c r="H305" s="8" t="s">
        <v>45</v>
      </c>
      <c r="I305" s="8" t="s">
        <v>39</v>
      </c>
      <c r="J305" s="8" t="s">
        <v>19</v>
      </c>
      <c r="K305" s="8" t="s">
        <v>59</v>
      </c>
      <c r="L305" s="10">
        <v>442</v>
      </c>
      <c r="M305" s="17" t="s">
        <v>72</v>
      </c>
      <c r="N305" s="6">
        <v>2021</v>
      </c>
    </row>
    <row r="306" spans="1:14" x14ac:dyDescent="0.25">
      <c r="A306" s="6">
        <v>305</v>
      </c>
      <c r="B306" s="7">
        <v>44348</v>
      </c>
      <c r="C306" s="8" t="s">
        <v>65</v>
      </c>
      <c r="D306" s="8" t="s">
        <v>14</v>
      </c>
      <c r="E306" s="9" t="s">
        <v>15</v>
      </c>
      <c r="F306" s="8" t="s">
        <v>29</v>
      </c>
      <c r="G306" s="8">
        <v>0</v>
      </c>
      <c r="H306" s="8" t="s">
        <v>30</v>
      </c>
      <c r="I306" s="8" t="s">
        <v>18</v>
      </c>
      <c r="J306" s="8" t="s">
        <v>26</v>
      </c>
      <c r="K306" s="8" t="s">
        <v>40</v>
      </c>
      <c r="L306" s="10">
        <v>0</v>
      </c>
      <c r="M306" s="17" t="s">
        <v>73</v>
      </c>
      <c r="N306" s="6">
        <v>2021</v>
      </c>
    </row>
    <row r="307" spans="1:14" x14ac:dyDescent="0.25">
      <c r="A307" s="6">
        <v>306</v>
      </c>
      <c r="B307" s="7">
        <v>44348</v>
      </c>
      <c r="C307" s="8" t="s">
        <v>41</v>
      </c>
      <c r="D307" s="8" t="s">
        <v>14</v>
      </c>
      <c r="E307" s="9" t="s">
        <v>34</v>
      </c>
      <c r="F307" s="8" t="s">
        <v>23</v>
      </c>
      <c r="G307" s="8">
        <v>0</v>
      </c>
      <c r="H307" s="8" t="s">
        <v>37</v>
      </c>
      <c r="I307" s="8" t="s">
        <v>18</v>
      </c>
      <c r="J307" s="8" t="s">
        <v>26</v>
      </c>
      <c r="K307" s="8" t="s">
        <v>27</v>
      </c>
      <c r="L307" s="10">
        <v>0</v>
      </c>
      <c r="M307" s="17" t="s">
        <v>73</v>
      </c>
      <c r="N307" s="6">
        <v>2021</v>
      </c>
    </row>
    <row r="308" spans="1:14" x14ac:dyDescent="0.25">
      <c r="A308" s="6">
        <v>307</v>
      </c>
      <c r="B308" s="7">
        <v>44349</v>
      </c>
      <c r="C308" s="8" t="s">
        <v>58</v>
      </c>
      <c r="D308" s="8" t="s">
        <v>14</v>
      </c>
      <c r="E308" s="9" t="s">
        <v>34</v>
      </c>
      <c r="F308" s="8" t="s">
        <v>48</v>
      </c>
      <c r="G308" s="8">
        <v>0</v>
      </c>
      <c r="H308" s="8" t="s">
        <v>49</v>
      </c>
      <c r="I308" s="8" t="s">
        <v>53</v>
      </c>
      <c r="J308" s="8" t="s">
        <v>46</v>
      </c>
      <c r="K308" s="8" t="s">
        <v>59</v>
      </c>
      <c r="L308" s="10">
        <v>882</v>
      </c>
      <c r="M308" s="17" t="s">
        <v>73</v>
      </c>
      <c r="N308" s="6">
        <v>2021</v>
      </c>
    </row>
    <row r="309" spans="1:14" x14ac:dyDescent="0.25">
      <c r="A309" s="6">
        <v>308</v>
      </c>
      <c r="B309" s="7">
        <v>44349</v>
      </c>
      <c r="C309" s="8" t="s">
        <v>44</v>
      </c>
      <c r="D309" s="8" t="s">
        <v>14</v>
      </c>
      <c r="E309" s="9" t="s">
        <v>47</v>
      </c>
      <c r="F309" s="8" t="s">
        <v>36</v>
      </c>
      <c r="G309" s="8">
        <v>0</v>
      </c>
      <c r="H309" s="8" t="s">
        <v>45</v>
      </c>
      <c r="I309" s="8" t="s">
        <v>18</v>
      </c>
      <c r="J309" s="8" t="s">
        <v>19</v>
      </c>
      <c r="K309" s="8" t="s">
        <v>43</v>
      </c>
      <c r="L309" s="10">
        <v>0</v>
      </c>
      <c r="M309" s="17" t="s">
        <v>73</v>
      </c>
      <c r="N309" s="6">
        <v>2021</v>
      </c>
    </row>
    <row r="310" spans="1:14" x14ac:dyDescent="0.25">
      <c r="A310" s="6">
        <v>309</v>
      </c>
      <c r="B310" s="7">
        <v>44350</v>
      </c>
      <c r="C310" s="8" t="s">
        <v>64</v>
      </c>
      <c r="D310" s="8" t="s">
        <v>33</v>
      </c>
      <c r="E310" s="9" t="s">
        <v>34</v>
      </c>
      <c r="F310" s="8" t="s">
        <v>23</v>
      </c>
      <c r="G310" s="8">
        <v>3</v>
      </c>
      <c r="H310" s="8" t="s">
        <v>45</v>
      </c>
      <c r="I310" s="8" t="s">
        <v>25</v>
      </c>
      <c r="J310" s="8" t="s">
        <v>19</v>
      </c>
      <c r="K310" s="8" t="s">
        <v>40</v>
      </c>
      <c r="L310" s="10">
        <v>498</v>
      </c>
      <c r="M310" s="17" t="s">
        <v>73</v>
      </c>
      <c r="N310" s="6">
        <v>2021</v>
      </c>
    </row>
    <row r="311" spans="1:14" x14ac:dyDescent="0.25">
      <c r="A311" s="6">
        <v>310</v>
      </c>
      <c r="B311" s="7">
        <v>44350</v>
      </c>
      <c r="C311" s="8" t="s">
        <v>13</v>
      </c>
      <c r="D311" s="8" t="s">
        <v>14</v>
      </c>
      <c r="E311" s="9" t="s">
        <v>42</v>
      </c>
      <c r="F311" s="8" t="s">
        <v>62</v>
      </c>
      <c r="G311" s="8">
        <v>4.5</v>
      </c>
      <c r="H311" s="8" t="s">
        <v>55</v>
      </c>
      <c r="I311" s="8" t="s">
        <v>25</v>
      </c>
      <c r="J311" s="8" t="s">
        <v>19</v>
      </c>
      <c r="K311" s="8" t="s">
        <v>20</v>
      </c>
      <c r="L311" s="10">
        <v>3170</v>
      </c>
      <c r="M311" s="17" t="s">
        <v>73</v>
      </c>
      <c r="N311" s="6">
        <v>2021</v>
      </c>
    </row>
    <row r="312" spans="1:14" x14ac:dyDescent="0.25">
      <c r="A312" s="6">
        <v>311</v>
      </c>
      <c r="B312" s="7">
        <v>44353</v>
      </c>
      <c r="C312" s="8" t="s">
        <v>32</v>
      </c>
      <c r="D312" s="8" t="s">
        <v>14</v>
      </c>
      <c r="E312" s="9" t="s">
        <v>47</v>
      </c>
      <c r="F312" s="8" t="s">
        <v>16</v>
      </c>
      <c r="G312" s="8">
        <v>0</v>
      </c>
      <c r="H312" s="8" t="s">
        <v>49</v>
      </c>
      <c r="I312" s="8" t="s">
        <v>53</v>
      </c>
      <c r="J312" s="8" t="s">
        <v>26</v>
      </c>
      <c r="K312" s="8" t="s">
        <v>20</v>
      </c>
      <c r="L312" s="10">
        <v>4260</v>
      </c>
      <c r="M312" s="17" t="s">
        <v>73</v>
      </c>
      <c r="N312" s="6">
        <v>2021</v>
      </c>
    </row>
    <row r="313" spans="1:14" x14ac:dyDescent="0.25">
      <c r="A313" s="6">
        <v>312</v>
      </c>
      <c r="B313" s="7">
        <v>44354</v>
      </c>
      <c r="C313" s="8" t="s">
        <v>28</v>
      </c>
      <c r="D313" s="8" t="s">
        <v>14</v>
      </c>
      <c r="E313" s="9" t="s">
        <v>47</v>
      </c>
      <c r="F313" s="8" t="s">
        <v>48</v>
      </c>
      <c r="G313" s="8">
        <v>0</v>
      </c>
      <c r="H313" s="8" t="s">
        <v>60</v>
      </c>
      <c r="I313" s="8" t="s">
        <v>39</v>
      </c>
      <c r="J313" s="8" t="s">
        <v>26</v>
      </c>
      <c r="K313" s="8" t="s">
        <v>52</v>
      </c>
      <c r="L313" s="10">
        <v>107</v>
      </c>
      <c r="M313" s="17" t="s">
        <v>73</v>
      </c>
      <c r="N313" s="6">
        <v>2021</v>
      </c>
    </row>
    <row r="314" spans="1:14" x14ac:dyDescent="0.25">
      <c r="A314" s="6">
        <v>313</v>
      </c>
      <c r="B314" s="7">
        <v>44355</v>
      </c>
      <c r="C314" s="8" t="s">
        <v>51</v>
      </c>
      <c r="D314" s="8" t="s">
        <v>14</v>
      </c>
      <c r="E314" s="9" t="s">
        <v>15</v>
      </c>
      <c r="F314" s="8" t="s">
        <v>35</v>
      </c>
      <c r="G314" s="8">
        <v>0</v>
      </c>
      <c r="H314" s="8" t="s">
        <v>24</v>
      </c>
      <c r="I314" s="8" t="s">
        <v>18</v>
      </c>
      <c r="J314" s="8" t="s">
        <v>19</v>
      </c>
      <c r="K314" s="8" t="s">
        <v>54</v>
      </c>
      <c r="L314" s="10">
        <v>0</v>
      </c>
      <c r="M314" s="17" t="s">
        <v>73</v>
      </c>
      <c r="N314" s="6">
        <v>2021</v>
      </c>
    </row>
    <row r="315" spans="1:14" x14ac:dyDescent="0.25">
      <c r="A315" s="6">
        <v>314</v>
      </c>
      <c r="B315" s="7">
        <v>44355</v>
      </c>
      <c r="C315" s="8" t="s">
        <v>21</v>
      </c>
      <c r="D315" s="8" t="s">
        <v>14</v>
      </c>
      <c r="E315" s="9" t="s">
        <v>22</v>
      </c>
      <c r="F315" s="8" t="s">
        <v>62</v>
      </c>
      <c r="G315" s="8">
        <v>0</v>
      </c>
      <c r="H315" s="8" t="s">
        <v>55</v>
      </c>
      <c r="I315" s="8" t="s">
        <v>39</v>
      </c>
      <c r="J315" s="8" t="s">
        <v>46</v>
      </c>
      <c r="K315" s="8" t="s">
        <v>20</v>
      </c>
      <c r="L315" s="10">
        <v>152</v>
      </c>
      <c r="M315" s="17" t="s">
        <v>73</v>
      </c>
      <c r="N315" s="6">
        <v>2021</v>
      </c>
    </row>
    <row r="316" spans="1:14" x14ac:dyDescent="0.25">
      <c r="A316" s="6">
        <v>315</v>
      </c>
      <c r="B316" s="7">
        <v>44359</v>
      </c>
      <c r="C316" s="8" t="s">
        <v>56</v>
      </c>
      <c r="D316" s="8" t="s">
        <v>14</v>
      </c>
      <c r="E316" s="9" t="s">
        <v>15</v>
      </c>
      <c r="F316" s="8" t="s">
        <v>16</v>
      </c>
      <c r="G316" s="8">
        <v>4.5</v>
      </c>
      <c r="H316" s="8" t="s">
        <v>55</v>
      </c>
      <c r="I316" s="8" t="s">
        <v>25</v>
      </c>
      <c r="J316" s="8" t="s">
        <v>46</v>
      </c>
      <c r="K316" s="8" t="s">
        <v>43</v>
      </c>
      <c r="L316" s="10">
        <v>2651</v>
      </c>
      <c r="M316" s="17" t="s">
        <v>73</v>
      </c>
      <c r="N316" s="6">
        <v>2021</v>
      </c>
    </row>
    <row r="317" spans="1:14" x14ac:dyDescent="0.25">
      <c r="A317" s="6">
        <v>316</v>
      </c>
      <c r="B317" s="7">
        <v>44359</v>
      </c>
      <c r="C317" s="8" t="s">
        <v>61</v>
      </c>
      <c r="D317" s="8" t="s">
        <v>14</v>
      </c>
      <c r="E317" s="9" t="s">
        <v>22</v>
      </c>
      <c r="F317" s="8" t="s">
        <v>29</v>
      </c>
      <c r="G317" s="8">
        <v>0</v>
      </c>
      <c r="H317" s="8" t="s">
        <v>55</v>
      </c>
      <c r="I317" s="8" t="s">
        <v>39</v>
      </c>
      <c r="J317" s="8" t="s">
        <v>19</v>
      </c>
      <c r="K317" s="8" t="s">
        <v>59</v>
      </c>
      <c r="L317" s="10">
        <v>491</v>
      </c>
      <c r="M317" s="17" t="s">
        <v>73</v>
      </c>
      <c r="N317" s="6">
        <v>2021</v>
      </c>
    </row>
    <row r="318" spans="1:14" x14ac:dyDescent="0.25">
      <c r="A318" s="6">
        <v>317</v>
      </c>
      <c r="B318" s="7">
        <v>44360</v>
      </c>
      <c r="C318" s="8" t="s">
        <v>65</v>
      </c>
      <c r="D318" s="8" t="s">
        <v>14</v>
      </c>
      <c r="E318" s="9" t="s">
        <v>47</v>
      </c>
      <c r="F318" s="8" t="s">
        <v>23</v>
      </c>
      <c r="G318" s="8">
        <v>0</v>
      </c>
      <c r="H318" s="8" t="s">
        <v>55</v>
      </c>
      <c r="I318" s="8" t="s">
        <v>18</v>
      </c>
      <c r="J318" s="8" t="s">
        <v>19</v>
      </c>
      <c r="K318" s="8" t="s">
        <v>50</v>
      </c>
      <c r="L318" s="10">
        <v>0</v>
      </c>
      <c r="M318" s="17" t="s">
        <v>73</v>
      </c>
      <c r="N318" s="6">
        <v>2021</v>
      </c>
    </row>
    <row r="319" spans="1:14" x14ac:dyDescent="0.25">
      <c r="A319" s="6">
        <v>318</v>
      </c>
      <c r="B319" s="7">
        <v>44362</v>
      </c>
      <c r="C319" s="8" t="s">
        <v>56</v>
      </c>
      <c r="D319" s="8" t="s">
        <v>14</v>
      </c>
      <c r="E319" s="9" t="s">
        <v>47</v>
      </c>
      <c r="F319" s="8" t="s">
        <v>48</v>
      </c>
      <c r="G319" s="8">
        <v>2</v>
      </c>
      <c r="H319" s="8" t="s">
        <v>45</v>
      </c>
      <c r="I319" s="8" t="s">
        <v>25</v>
      </c>
      <c r="J319" s="8" t="s">
        <v>46</v>
      </c>
      <c r="K319" s="8" t="s">
        <v>31</v>
      </c>
      <c r="L319" s="10">
        <v>674</v>
      </c>
      <c r="M319" s="17" t="s">
        <v>73</v>
      </c>
      <c r="N319" s="6">
        <v>2021</v>
      </c>
    </row>
    <row r="320" spans="1:14" x14ac:dyDescent="0.25">
      <c r="A320" s="6">
        <v>319</v>
      </c>
      <c r="B320" s="7">
        <v>44364</v>
      </c>
      <c r="C320" s="8" t="s">
        <v>64</v>
      </c>
      <c r="D320" s="8" t="s">
        <v>14</v>
      </c>
      <c r="E320" s="9" t="s">
        <v>34</v>
      </c>
      <c r="F320" s="8" t="s">
        <v>16</v>
      </c>
      <c r="G320" s="8">
        <v>0</v>
      </c>
      <c r="H320" s="8" t="s">
        <v>55</v>
      </c>
      <c r="I320" s="8" t="s">
        <v>53</v>
      </c>
      <c r="J320" s="8" t="s">
        <v>46</v>
      </c>
      <c r="K320" s="8" t="s">
        <v>59</v>
      </c>
      <c r="L320" s="10">
        <v>718</v>
      </c>
      <c r="M320" s="17" t="s">
        <v>73</v>
      </c>
      <c r="N320" s="6">
        <v>2021</v>
      </c>
    </row>
    <row r="321" spans="1:14" x14ac:dyDescent="0.25">
      <c r="A321" s="6">
        <v>320</v>
      </c>
      <c r="B321" s="7">
        <v>44365</v>
      </c>
      <c r="C321" s="8" t="s">
        <v>28</v>
      </c>
      <c r="D321" s="8" t="s">
        <v>14</v>
      </c>
      <c r="E321" s="9" t="s">
        <v>15</v>
      </c>
      <c r="F321" s="8" t="s">
        <v>29</v>
      </c>
      <c r="G321" s="8">
        <v>1.5</v>
      </c>
      <c r="H321" s="8" t="s">
        <v>55</v>
      </c>
      <c r="I321" s="8" t="s">
        <v>25</v>
      </c>
      <c r="J321" s="8" t="s">
        <v>19</v>
      </c>
      <c r="K321" s="8" t="s">
        <v>50</v>
      </c>
      <c r="L321" s="10">
        <v>1698</v>
      </c>
      <c r="M321" s="17" t="s">
        <v>73</v>
      </c>
      <c r="N321" s="6">
        <v>2021</v>
      </c>
    </row>
    <row r="322" spans="1:14" x14ac:dyDescent="0.25">
      <c r="A322" s="6">
        <v>321</v>
      </c>
      <c r="B322" s="7">
        <v>44365</v>
      </c>
      <c r="C322" s="8" t="s">
        <v>13</v>
      </c>
      <c r="D322" s="8" t="s">
        <v>14</v>
      </c>
      <c r="E322" s="9" t="s">
        <v>47</v>
      </c>
      <c r="F322" s="8" t="s">
        <v>16</v>
      </c>
      <c r="G322" s="8">
        <v>0</v>
      </c>
      <c r="H322" s="8" t="s">
        <v>57</v>
      </c>
      <c r="I322" s="8" t="s">
        <v>53</v>
      </c>
      <c r="J322" s="8" t="s">
        <v>26</v>
      </c>
      <c r="K322" s="8" t="s">
        <v>20</v>
      </c>
      <c r="L322" s="10">
        <v>4664</v>
      </c>
      <c r="M322" s="17" t="s">
        <v>73</v>
      </c>
      <c r="N322" s="6">
        <v>2021</v>
      </c>
    </row>
    <row r="323" spans="1:14" x14ac:dyDescent="0.25">
      <c r="A323" s="6">
        <v>322</v>
      </c>
      <c r="B323" s="7">
        <v>44365</v>
      </c>
      <c r="C323" s="8" t="s">
        <v>56</v>
      </c>
      <c r="D323" s="8" t="s">
        <v>14</v>
      </c>
      <c r="E323" s="9" t="s">
        <v>34</v>
      </c>
      <c r="F323" s="8" t="s">
        <v>38</v>
      </c>
      <c r="G323" s="8">
        <v>4.5</v>
      </c>
      <c r="H323" s="8" t="s">
        <v>49</v>
      </c>
      <c r="I323" s="8" t="s">
        <v>25</v>
      </c>
      <c r="J323" s="8" t="s">
        <v>46</v>
      </c>
      <c r="K323" s="8" t="s">
        <v>40</v>
      </c>
      <c r="L323" s="10">
        <v>1694</v>
      </c>
      <c r="M323" s="17" t="s">
        <v>73</v>
      </c>
      <c r="N323" s="6">
        <v>2021</v>
      </c>
    </row>
    <row r="324" spans="1:14" x14ac:dyDescent="0.25">
      <c r="A324" s="6">
        <v>323</v>
      </c>
      <c r="B324" s="7">
        <v>44366</v>
      </c>
      <c r="C324" s="8" t="s">
        <v>58</v>
      </c>
      <c r="D324" s="8" t="s">
        <v>14</v>
      </c>
      <c r="E324" s="9" t="s">
        <v>34</v>
      </c>
      <c r="F324" s="8" t="s">
        <v>36</v>
      </c>
      <c r="G324" s="8">
        <v>0</v>
      </c>
      <c r="H324" s="8" t="s">
        <v>30</v>
      </c>
      <c r="I324" s="8" t="s">
        <v>53</v>
      </c>
      <c r="J324" s="8" t="s">
        <v>46</v>
      </c>
      <c r="K324" s="8" t="s">
        <v>50</v>
      </c>
      <c r="L324" s="10">
        <v>522</v>
      </c>
      <c r="M324" s="17" t="s">
        <v>73</v>
      </c>
      <c r="N324" s="6">
        <v>2021</v>
      </c>
    </row>
    <row r="325" spans="1:14" x14ac:dyDescent="0.25">
      <c r="A325" s="6">
        <v>324</v>
      </c>
      <c r="B325" s="7">
        <v>44368</v>
      </c>
      <c r="C325" s="8" t="s">
        <v>32</v>
      </c>
      <c r="D325" s="8" t="s">
        <v>14</v>
      </c>
      <c r="E325" s="9" t="s">
        <v>34</v>
      </c>
      <c r="F325" s="8" t="s">
        <v>35</v>
      </c>
      <c r="G325" s="8">
        <v>0</v>
      </c>
      <c r="H325" s="8" t="s">
        <v>30</v>
      </c>
      <c r="I325" s="8" t="s">
        <v>53</v>
      </c>
      <c r="J325" s="8" t="s">
        <v>26</v>
      </c>
      <c r="K325" s="8" t="s">
        <v>54</v>
      </c>
      <c r="L325" s="10">
        <v>3221</v>
      </c>
      <c r="M325" s="17" t="s">
        <v>73</v>
      </c>
      <c r="N325" s="6">
        <v>2021</v>
      </c>
    </row>
    <row r="326" spans="1:14" x14ac:dyDescent="0.25">
      <c r="A326" s="6">
        <v>325</v>
      </c>
      <c r="B326" s="7">
        <v>44370</v>
      </c>
      <c r="C326" s="8" t="s">
        <v>51</v>
      </c>
      <c r="D326" s="8" t="s">
        <v>14</v>
      </c>
      <c r="E326" s="9" t="s">
        <v>22</v>
      </c>
      <c r="F326" s="8" t="s">
        <v>36</v>
      </c>
      <c r="G326" s="8">
        <v>0</v>
      </c>
      <c r="H326" s="8" t="s">
        <v>30</v>
      </c>
      <c r="I326" s="8" t="s">
        <v>18</v>
      </c>
      <c r="J326" s="8" t="s">
        <v>26</v>
      </c>
      <c r="K326" s="8" t="s">
        <v>20</v>
      </c>
      <c r="L326" s="10">
        <v>0</v>
      </c>
      <c r="M326" s="17" t="s">
        <v>73</v>
      </c>
      <c r="N326" s="6">
        <v>2021</v>
      </c>
    </row>
    <row r="327" spans="1:14" x14ac:dyDescent="0.25">
      <c r="A327" s="6">
        <v>326</v>
      </c>
      <c r="B327" s="7">
        <v>44372</v>
      </c>
      <c r="C327" s="8" t="s">
        <v>64</v>
      </c>
      <c r="D327" s="8" t="s">
        <v>14</v>
      </c>
      <c r="E327" s="9" t="s">
        <v>22</v>
      </c>
      <c r="F327" s="8" t="s">
        <v>16</v>
      </c>
      <c r="G327" s="8">
        <v>0</v>
      </c>
      <c r="H327" s="8" t="s">
        <v>24</v>
      </c>
      <c r="I327" s="8" t="s">
        <v>18</v>
      </c>
      <c r="J327" s="8" t="s">
        <v>26</v>
      </c>
      <c r="K327" s="8" t="s">
        <v>20</v>
      </c>
      <c r="L327" s="10">
        <v>0</v>
      </c>
      <c r="M327" s="17" t="s">
        <v>73</v>
      </c>
      <c r="N327" s="6">
        <v>2021</v>
      </c>
    </row>
    <row r="328" spans="1:14" x14ac:dyDescent="0.25">
      <c r="A328" s="6">
        <v>327</v>
      </c>
      <c r="B328" s="7">
        <v>44373</v>
      </c>
      <c r="C328" s="8" t="s">
        <v>28</v>
      </c>
      <c r="D328" s="8" t="s">
        <v>14</v>
      </c>
      <c r="E328" s="9" t="s">
        <v>47</v>
      </c>
      <c r="F328" s="8" t="s">
        <v>48</v>
      </c>
      <c r="G328" s="8">
        <v>0</v>
      </c>
      <c r="H328" s="8" t="s">
        <v>30</v>
      </c>
      <c r="I328" s="8" t="s">
        <v>39</v>
      </c>
      <c r="J328" s="8" t="s">
        <v>46</v>
      </c>
      <c r="K328" s="8" t="s">
        <v>54</v>
      </c>
      <c r="L328" s="10">
        <v>383</v>
      </c>
      <c r="M328" s="17" t="s">
        <v>73</v>
      </c>
      <c r="N328" s="6">
        <v>2021</v>
      </c>
    </row>
    <row r="329" spans="1:14" x14ac:dyDescent="0.25">
      <c r="A329" s="6">
        <v>328</v>
      </c>
      <c r="B329" s="7">
        <v>44374</v>
      </c>
      <c r="C329" s="8" t="s">
        <v>28</v>
      </c>
      <c r="D329" s="8" t="s">
        <v>14</v>
      </c>
      <c r="E329" s="9" t="s">
        <v>15</v>
      </c>
      <c r="F329" s="8" t="s">
        <v>35</v>
      </c>
      <c r="G329" s="8">
        <v>4.5</v>
      </c>
      <c r="H329" s="8" t="s">
        <v>30</v>
      </c>
      <c r="I329" s="8" t="s">
        <v>25</v>
      </c>
      <c r="J329" s="8" t="s">
        <v>26</v>
      </c>
      <c r="K329" s="8" t="s">
        <v>52</v>
      </c>
      <c r="L329" s="10">
        <v>3588</v>
      </c>
      <c r="M329" s="17" t="s">
        <v>73</v>
      </c>
      <c r="N329" s="6">
        <v>2021</v>
      </c>
    </row>
    <row r="330" spans="1:14" x14ac:dyDescent="0.25">
      <c r="A330" s="6">
        <v>329</v>
      </c>
      <c r="B330" s="7">
        <v>44375</v>
      </c>
      <c r="C330" s="8" t="s">
        <v>61</v>
      </c>
      <c r="D330" s="8" t="s">
        <v>14</v>
      </c>
      <c r="E330" s="9" t="s">
        <v>47</v>
      </c>
      <c r="F330" s="8" t="s">
        <v>23</v>
      </c>
      <c r="G330" s="8">
        <v>0</v>
      </c>
      <c r="H330" s="8" t="s">
        <v>37</v>
      </c>
      <c r="I330" s="8" t="s">
        <v>39</v>
      </c>
      <c r="J330" s="8" t="s">
        <v>26</v>
      </c>
      <c r="K330" s="8" t="s">
        <v>27</v>
      </c>
      <c r="L330" s="10">
        <v>119</v>
      </c>
      <c r="M330" s="17" t="s">
        <v>73</v>
      </c>
      <c r="N330" s="6">
        <v>2021</v>
      </c>
    </row>
    <row r="331" spans="1:14" x14ac:dyDescent="0.25">
      <c r="A331" s="6">
        <v>330</v>
      </c>
      <c r="B331" s="7">
        <v>44376</v>
      </c>
      <c r="C331" s="8" t="s">
        <v>51</v>
      </c>
      <c r="D331" s="8" t="s">
        <v>14</v>
      </c>
      <c r="E331" s="9" t="s">
        <v>47</v>
      </c>
      <c r="F331" s="8" t="s">
        <v>36</v>
      </c>
      <c r="G331" s="8">
        <v>0</v>
      </c>
      <c r="H331" s="8" t="s">
        <v>17</v>
      </c>
      <c r="I331" s="8" t="s">
        <v>18</v>
      </c>
      <c r="J331" s="8" t="s">
        <v>26</v>
      </c>
      <c r="K331" s="8" t="s">
        <v>20</v>
      </c>
      <c r="L331" s="10">
        <v>0</v>
      </c>
      <c r="M331" s="17" t="s">
        <v>73</v>
      </c>
      <c r="N331" s="6">
        <v>2021</v>
      </c>
    </row>
    <row r="332" spans="1:14" x14ac:dyDescent="0.25">
      <c r="A332" s="6">
        <v>331</v>
      </c>
      <c r="B332" s="7">
        <v>44381</v>
      </c>
      <c r="C332" s="8" t="s">
        <v>65</v>
      </c>
      <c r="D332" s="8" t="s">
        <v>14</v>
      </c>
      <c r="E332" s="9" t="s">
        <v>47</v>
      </c>
      <c r="F332" s="8" t="s">
        <v>35</v>
      </c>
      <c r="G332" s="8">
        <v>0</v>
      </c>
      <c r="H332" s="8" t="s">
        <v>60</v>
      </c>
      <c r="I332" s="8" t="s">
        <v>39</v>
      </c>
      <c r="J332" s="8" t="s">
        <v>46</v>
      </c>
      <c r="K332" s="8" t="s">
        <v>31</v>
      </c>
      <c r="L332" s="10">
        <v>88</v>
      </c>
      <c r="M332" s="17" t="s">
        <v>74</v>
      </c>
      <c r="N332" s="6">
        <v>2021</v>
      </c>
    </row>
    <row r="333" spans="1:14" x14ac:dyDescent="0.25">
      <c r="A333" s="6">
        <v>332</v>
      </c>
      <c r="B333" s="7">
        <v>44383</v>
      </c>
      <c r="C333" s="8" t="s">
        <v>61</v>
      </c>
      <c r="D333" s="8" t="s">
        <v>14</v>
      </c>
      <c r="E333" s="9" t="s">
        <v>15</v>
      </c>
      <c r="F333" s="8" t="s">
        <v>48</v>
      </c>
      <c r="G333" s="8">
        <v>0</v>
      </c>
      <c r="H333" s="8" t="s">
        <v>24</v>
      </c>
      <c r="I333" s="8" t="s">
        <v>39</v>
      </c>
      <c r="J333" s="8" t="s">
        <v>26</v>
      </c>
      <c r="K333" s="8" t="s">
        <v>50</v>
      </c>
      <c r="L333" s="10">
        <v>373</v>
      </c>
      <c r="M333" s="17" t="s">
        <v>74</v>
      </c>
      <c r="N333" s="6">
        <v>2021</v>
      </c>
    </row>
    <row r="334" spans="1:14" x14ac:dyDescent="0.25">
      <c r="A334" s="6">
        <v>333</v>
      </c>
      <c r="B334" s="7">
        <v>44384</v>
      </c>
      <c r="C334" s="8" t="s">
        <v>61</v>
      </c>
      <c r="D334" s="8" t="s">
        <v>14</v>
      </c>
      <c r="E334" s="9" t="s">
        <v>22</v>
      </c>
      <c r="F334" s="8" t="s">
        <v>36</v>
      </c>
      <c r="G334" s="8">
        <v>0</v>
      </c>
      <c r="H334" s="8" t="s">
        <v>60</v>
      </c>
      <c r="I334" s="8" t="s">
        <v>53</v>
      </c>
      <c r="J334" s="8" t="s">
        <v>26</v>
      </c>
      <c r="K334" s="8" t="s">
        <v>52</v>
      </c>
      <c r="L334" s="10">
        <v>4905</v>
      </c>
      <c r="M334" s="17" t="s">
        <v>74</v>
      </c>
      <c r="N334" s="6">
        <v>2021</v>
      </c>
    </row>
    <row r="335" spans="1:14" x14ac:dyDescent="0.25">
      <c r="A335" s="6">
        <v>334</v>
      </c>
      <c r="B335" s="7">
        <v>44385</v>
      </c>
      <c r="C335" s="8" t="s">
        <v>64</v>
      </c>
      <c r="D335" s="8" t="s">
        <v>14</v>
      </c>
      <c r="E335" s="9" t="s">
        <v>15</v>
      </c>
      <c r="F335" s="8" t="s">
        <v>38</v>
      </c>
      <c r="G335" s="8">
        <v>4.5</v>
      </c>
      <c r="H335" s="8" t="s">
        <v>37</v>
      </c>
      <c r="I335" s="8" t="s">
        <v>25</v>
      </c>
      <c r="J335" s="8" t="s">
        <v>19</v>
      </c>
      <c r="K335" s="8" t="s">
        <v>50</v>
      </c>
      <c r="L335" s="10">
        <v>738</v>
      </c>
      <c r="M335" s="17" t="s">
        <v>74</v>
      </c>
      <c r="N335" s="6">
        <v>2021</v>
      </c>
    </row>
    <row r="336" spans="1:14" x14ac:dyDescent="0.25">
      <c r="A336" s="6">
        <v>335</v>
      </c>
      <c r="B336" s="7">
        <v>44385</v>
      </c>
      <c r="C336" s="8" t="s">
        <v>56</v>
      </c>
      <c r="D336" s="8" t="s">
        <v>14</v>
      </c>
      <c r="E336" s="9" t="s">
        <v>15</v>
      </c>
      <c r="F336" s="8" t="s">
        <v>48</v>
      </c>
      <c r="G336" s="8">
        <v>0</v>
      </c>
      <c r="H336" s="8" t="s">
        <v>57</v>
      </c>
      <c r="I336" s="8" t="s">
        <v>53</v>
      </c>
      <c r="J336" s="8" t="s">
        <v>26</v>
      </c>
      <c r="K336" s="8" t="s">
        <v>20</v>
      </c>
      <c r="L336" s="10">
        <v>2450</v>
      </c>
      <c r="M336" s="17" t="s">
        <v>74</v>
      </c>
      <c r="N336" s="6">
        <v>2021</v>
      </c>
    </row>
    <row r="337" spans="1:14" x14ac:dyDescent="0.25">
      <c r="A337" s="6">
        <v>336</v>
      </c>
      <c r="B337" s="7">
        <v>44388</v>
      </c>
      <c r="C337" s="8" t="s">
        <v>13</v>
      </c>
      <c r="D337" s="8" t="s">
        <v>14</v>
      </c>
      <c r="E337" s="9" t="s">
        <v>47</v>
      </c>
      <c r="F337" s="8" t="s">
        <v>16</v>
      </c>
      <c r="G337" s="8">
        <v>0</v>
      </c>
      <c r="H337" s="8" t="s">
        <v>49</v>
      </c>
      <c r="I337" s="8" t="s">
        <v>39</v>
      </c>
      <c r="J337" s="8" t="s">
        <v>46</v>
      </c>
      <c r="K337" s="8" t="s">
        <v>50</v>
      </c>
      <c r="L337" s="10">
        <v>321</v>
      </c>
      <c r="M337" s="17" t="s">
        <v>74</v>
      </c>
      <c r="N337" s="6">
        <v>2021</v>
      </c>
    </row>
    <row r="338" spans="1:14" x14ac:dyDescent="0.25">
      <c r="A338" s="6">
        <v>337</v>
      </c>
      <c r="B338" s="7">
        <v>44389</v>
      </c>
      <c r="C338" s="8" t="s">
        <v>64</v>
      </c>
      <c r="D338" s="8" t="s">
        <v>14</v>
      </c>
      <c r="E338" s="9" t="s">
        <v>15</v>
      </c>
      <c r="F338" s="8" t="s">
        <v>16</v>
      </c>
      <c r="G338" s="8">
        <v>0</v>
      </c>
      <c r="H338" s="8" t="s">
        <v>30</v>
      </c>
      <c r="I338" s="8" t="s">
        <v>18</v>
      </c>
      <c r="J338" s="8" t="s">
        <v>26</v>
      </c>
      <c r="K338" s="8" t="s">
        <v>20</v>
      </c>
      <c r="L338" s="10">
        <v>0</v>
      </c>
      <c r="M338" s="17" t="s">
        <v>74</v>
      </c>
      <c r="N338" s="6">
        <v>2021</v>
      </c>
    </row>
    <row r="339" spans="1:14" x14ac:dyDescent="0.25">
      <c r="A339" s="6">
        <v>338</v>
      </c>
      <c r="B339" s="7">
        <v>44390</v>
      </c>
      <c r="C339" s="8" t="s">
        <v>65</v>
      </c>
      <c r="D339" s="8" t="s">
        <v>14</v>
      </c>
      <c r="E339" s="9" t="s">
        <v>15</v>
      </c>
      <c r="F339" s="8" t="s">
        <v>23</v>
      </c>
      <c r="G339" s="8">
        <v>3.5</v>
      </c>
      <c r="H339" s="8" t="s">
        <v>45</v>
      </c>
      <c r="I339" s="8" t="s">
        <v>25</v>
      </c>
      <c r="J339" s="8" t="s">
        <v>46</v>
      </c>
      <c r="K339" s="8" t="s">
        <v>54</v>
      </c>
      <c r="L339" s="10">
        <v>2466</v>
      </c>
      <c r="M339" s="17" t="s">
        <v>74</v>
      </c>
      <c r="N339" s="6">
        <v>2021</v>
      </c>
    </row>
    <row r="340" spans="1:14" x14ac:dyDescent="0.25">
      <c r="A340" s="6">
        <v>339</v>
      </c>
      <c r="B340" s="7">
        <v>44396</v>
      </c>
      <c r="C340" s="8" t="s">
        <v>44</v>
      </c>
      <c r="D340" s="8" t="s">
        <v>14</v>
      </c>
      <c r="E340" s="9" t="s">
        <v>47</v>
      </c>
      <c r="F340" s="8" t="s">
        <v>35</v>
      </c>
      <c r="G340" s="8">
        <v>0</v>
      </c>
      <c r="H340" s="8" t="s">
        <v>57</v>
      </c>
      <c r="I340" s="8" t="s">
        <v>18</v>
      </c>
      <c r="J340" s="8" t="s">
        <v>19</v>
      </c>
      <c r="K340" s="8" t="s">
        <v>31</v>
      </c>
      <c r="L340" s="10">
        <v>0</v>
      </c>
      <c r="M340" s="17" t="s">
        <v>74</v>
      </c>
      <c r="N340" s="6">
        <v>2021</v>
      </c>
    </row>
    <row r="341" spans="1:14" x14ac:dyDescent="0.25">
      <c r="A341" s="6">
        <v>340</v>
      </c>
      <c r="B341" s="7">
        <v>44397</v>
      </c>
      <c r="C341" s="8" t="s">
        <v>56</v>
      </c>
      <c r="D341" s="8" t="s">
        <v>14</v>
      </c>
      <c r="E341" s="9" t="s">
        <v>34</v>
      </c>
      <c r="F341" s="8" t="s">
        <v>38</v>
      </c>
      <c r="G341" s="8">
        <v>0</v>
      </c>
      <c r="H341" s="8" t="s">
        <v>57</v>
      </c>
      <c r="I341" s="8" t="s">
        <v>53</v>
      </c>
      <c r="J341" s="8" t="s">
        <v>46</v>
      </c>
      <c r="K341" s="8" t="s">
        <v>59</v>
      </c>
      <c r="L341" s="10">
        <v>2514</v>
      </c>
      <c r="M341" s="17" t="s">
        <v>74</v>
      </c>
      <c r="N341" s="6">
        <v>2021</v>
      </c>
    </row>
    <row r="342" spans="1:14" x14ac:dyDescent="0.25">
      <c r="A342" s="6">
        <v>341</v>
      </c>
      <c r="B342" s="7">
        <v>44398</v>
      </c>
      <c r="C342" s="8" t="s">
        <v>58</v>
      </c>
      <c r="D342" s="8" t="s">
        <v>14</v>
      </c>
      <c r="E342" s="9" t="s">
        <v>15</v>
      </c>
      <c r="F342" s="8" t="s">
        <v>38</v>
      </c>
      <c r="G342" s="8">
        <v>1</v>
      </c>
      <c r="H342" s="8" t="s">
        <v>17</v>
      </c>
      <c r="I342" s="8" t="s">
        <v>25</v>
      </c>
      <c r="J342" s="8" t="s">
        <v>26</v>
      </c>
      <c r="K342" s="8" t="s">
        <v>31</v>
      </c>
      <c r="L342" s="10">
        <v>3959</v>
      </c>
      <c r="M342" s="17" t="s">
        <v>74</v>
      </c>
      <c r="N342" s="6">
        <v>2021</v>
      </c>
    </row>
    <row r="343" spans="1:14" x14ac:dyDescent="0.25">
      <c r="A343" s="6">
        <v>342</v>
      </c>
      <c r="B343" s="7">
        <v>44399</v>
      </c>
      <c r="C343" s="8" t="s">
        <v>13</v>
      </c>
      <c r="D343" s="8" t="s">
        <v>14</v>
      </c>
      <c r="E343" s="9" t="s">
        <v>34</v>
      </c>
      <c r="F343" s="8" t="s">
        <v>48</v>
      </c>
      <c r="G343" s="8">
        <v>0</v>
      </c>
      <c r="H343" s="8" t="s">
        <v>37</v>
      </c>
      <c r="I343" s="8" t="s">
        <v>53</v>
      </c>
      <c r="J343" s="8" t="s">
        <v>19</v>
      </c>
      <c r="K343" s="8" t="s">
        <v>59</v>
      </c>
      <c r="L343" s="10">
        <v>4530</v>
      </c>
      <c r="M343" s="17" t="s">
        <v>74</v>
      </c>
      <c r="N343" s="6">
        <v>2021</v>
      </c>
    </row>
    <row r="344" spans="1:14" x14ac:dyDescent="0.25">
      <c r="A344" s="6">
        <v>343</v>
      </c>
      <c r="B344" s="7">
        <v>44402</v>
      </c>
      <c r="C344" s="8" t="s">
        <v>58</v>
      </c>
      <c r="D344" s="8" t="s">
        <v>14</v>
      </c>
      <c r="E344" s="9" t="s">
        <v>34</v>
      </c>
      <c r="F344" s="8" t="s">
        <v>62</v>
      </c>
      <c r="G344" s="8">
        <v>1.5</v>
      </c>
      <c r="H344" s="8" t="s">
        <v>24</v>
      </c>
      <c r="I344" s="8" t="s">
        <v>25</v>
      </c>
      <c r="J344" s="8" t="s">
        <v>26</v>
      </c>
      <c r="K344" s="8" t="s">
        <v>40</v>
      </c>
      <c r="L344" s="10">
        <v>1241</v>
      </c>
      <c r="M344" s="17" t="s">
        <v>74</v>
      </c>
      <c r="N344" s="6">
        <v>2021</v>
      </c>
    </row>
    <row r="345" spans="1:14" x14ac:dyDescent="0.25">
      <c r="A345" s="6">
        <v>344</v>
      </c>
      <c r="B345" s="7">
        <v>44402</v>
      </c>
      <c r="C345" s="8" t="s">
        <v>61</v>
      </c>
      <c r="D345" s="8" t="s">
        <v>14</v>
      </c>
      <c r="E345" s="9" t="s">
        <v>47</v>
      </c>
      <c r="F345" s="8" t="s">
        <v>36</v>
      </c>
      <c r="G345" s="8">
        <v>1</v>
      </c>
      <c r="H345" s="8" t="s">
        <v>37</v>
      </c>
      <c r="I345" s="8" t="s">
        <v>25</v>
      </c>
      <c r="J345" s="8" t="s">
        <v>46</v>
      </c>
      <c r="K345" s="8" t="s">
        <v>27</v>
      </c>
      <c r="L345" s="10">
        <v>1301</v>
      </c>
      <c r="M345" s="17" t="s">
        <v>74</v>
      </c>
      <c r="N345" s="6">
        <v>2021</v>
      </c>
    </row>
    <row r="346" spans="1:14" x14ac:dyDescent="0.25">
      <c r="A346" s="6">
        <v>345</v>
      </c>
      <c r="B346" s="7">
        <v>44408</v>
      </c>
      <c r="C346" s="8" t="s">
        <v>64</v>
      </c>
      <c r="D346" s="8" t="s">
        <v>14</v>
      </c>
      <c r="E346" s="9" t="s">
        <v>15</v>
      </c>
      <c r="F346" s="8" t="s">
        <v>62</v>
      </c>
      <c r="G346" s="8">
        <v>0</v>
      </c>
      <c r="H346" s="8" t="s">
        <v>30</v>
      </c>
      <c r="I346" s="8" t="s">
        <v>39</v>
      </c>
      <c r="J346" s="8" t="s">
        <v>26</v>
      </c>
      <c r="K346" s="8" t="s">
        <v>40</v>
      </c>
      <c r="L346" s="10">
        <v>140</v>
      </c>
      <c r="M346" s="17" t="s">
        <v>74</v>
      </c>
      <c r="N346" s="6">
        <v>2021</v>
      </c>
    </row>
    <row r="347" spans="1:14" x14ac:dyDescent="0.25">
      <c r="A347" s="6">
        <v>346</v>
      </c>
      <c r="B347" s="7">
        <v>44410</v>
      </c>
      <c r="C347" s="8" t="s">
        <v>51</v>
      </c>
      <c r="D347" s="8" t="s">
        <v>14</v>
      </c>
      <c r="E347" s="9" t="s">
        <v>42</v>
      </c>
      <c r="F347" s="8" t="s">
        <v>23</v>
      </c>
      <c r="G347" s="8">
        <v>0</v>
      </c>
      <c r="H347" s="8" t="s">
        <v>57</v>
      </c>
      <c r="I347" s="8" t="s">
        <v>53</v>
      </c>
      <c r="J347" s="8" t="s">
        <v>26</v>
      </c>
      <c r="K347" s="8" t="s">
        <v>50</v>
      </c>
      <c r="L347" s="10">
        <v>634</v>
      </c>
      <c r="M347" s="17" t="s">
        <v>75</v>
      </c>
      <c r="N347" s="6">
        <v>2021</v>
      </c>
    </row>
    <row r="348" spans="1:14" x14ac:dyDescent="0.25">
      <c r="A348" s="6">
        <v>347</v>
      </c>
      <c r="B348" s="7">
        <v>44411</v>
      </c>
      <c r="C348" s="8" t="s">
        <v>64</v>
      </c>
      <c r="D348" s="8" t="s">
        <v>14</v>
      </c>
      <c r="E348" s="9" t="s">
        <v>34</v>
      </c>
      <c r="F348" s="8" t="s">
        <v>63</v>
      </c>
      <c r="G348" s="8">
        <v>0</v>
      </c>
      <c r="H348" s="8" t="s">
        <v>57</v>
      </c>
      <c r="I348" s="8" t="s">
        <v>53</v>
      </c>
      <c r="J348" s="8" t="s">
        <v>19</v>
      </c>
      <c r="K348" s="8" t="s">
        <v>54</v>
      </c>
      <c r="L348" s="10">
        <v>3204</v>
      </c>
      <c r="M348" s="17" t="s">
        <v>75</v>
      </c>
      <c r="N348" s="6">
        <v>2021</v>
      </c>
    </row>
    <row r="349" spans="1:14" x14ac:dyDescent="0.25">
      <c r="A349" s="6">
        <v>348</v>
      </c>
      <c r="B349" s="7">
        <v>44415</v>
      </c>
      <c r="C349" s="8" t="s">
        <v>51</v>
      </c>
      <c r="D349" s="8" t="s">
        <v>14</v>
      </c>
      <c r="E349" s="9" t="s">
        <v>15</v>
      </c>
      <c r="F349" s="8" t="s">
        <v>35</v>
      </c>
      <c r="G349" s="8">
        <v>0</v>
      </c>
      <c r="H349" s="8" t="s">
        <v>45</v>
      </c>
      <c r="I349" s="8" t="s">
        <v>39</v>
      </c>
      <c r="J349" s="8" t="s">
        <v>19</v>
      </c>
      <c r="K349" s="8" t="s">
        <v>59</v>
      </c>
      <c r="L349" s="10">
        <v>453</v>
      </c>
      <c r="M349" s="17" t="s">
        <v>75</v>
      </c>
      <c r="N349" s="6">
        <v>2021</v>
      </c>
    </row>
    <row r="350" spans="1:14" x14ac:dyDescent="0.25">
      <c r="A350" s="6">
        <v>349</v>
      </c>
      <c r="B350" s="7">
        <v>44415</v>
      </c>
      <c r="C350" s="8" t="s">
        <v>41</v>
      </c>
      <c r="D350" s="8" t="s">
        <v>14</v>
      </c>
      <c r="E350" s="9" t="s">
        <v>34</v>
      </c>
      <c r="F350" s="8" t="s">
        <v>35</v>
      </c>
      <c r="G350" s="8">
        <v>3</v>
      </c>
      <c r="H350" s="8" t="s">
        <v>37</v>
      </c>
      <c r="I350" s="8" t="s">
        <v>25</v>
      </c>
      <c r="J350" s="8" t="s">
        <v>19</v>
      </c>
      <c r="K350" s="8" t="s">
        <v>27</v>
      </c>
      <c r="L350" s="10">
        <v>2937</v>
      </c>
      <c r="M350" s="17" t="s">
        <v>75</v>
      </c>
      <c r="N350" s="6">
        <v>2021</v>
      </c>
    </row>
    <row r="351" spans="1:14" x14ac:dyDescent="0.25">
      <c r="A351" s="6">
        <v>350</v>
      </c>
      <c r="B351" s="7">
        <v>44418</v>
      </c>
      <c r="C351" s="8" t="s">
        <v>21</v>
      </c>
      <c r="D351" s="8" t="s">
        <v>14</v>
      </c>
      <c r="E351" s="9" t="s">
        <v>22</v>
      </c>
      <c r="F351" s="8" t="s">
        <v>29</v>
      </c>
      <c r="G351" s="8">
        <v>0</v>
      </c>
      <c r="H351" s="8" t="s">
        <v>49</v>
      </c>
      <c r="I351" s="8" t="s">
        <v>18</v>
      </c>
      <c r="J351" s="8" t="s">
        <v>26</v>
      </c>
      <c r="K351" s="8" t="s">
        <v>31</v>
      </c>
      <c r="L351" s="10">
        <v>0</v>
      </c>
      <c r="M351" s="17" t="s">
        <v>75</v>
      </c>
      <c r="N351" s="6">
        <v>2021</v>
      </c>
    </row>
    <row r="352" spans="1:14" x14ac:dyDescent="0.25">
      <c r="A352" s="6">
        <v>351</v>
      </c>
      <c r="B352" s="7">
        <v>44420</v>
      </c>
      <c r="C352" s="8" t="s">
        <v>65</v>
      </c>
      <c r="D352" s="8" t="s">
        <v>14</v>
      </c>
      <c r="E352" s="9" t="s">
        <v>15</v>
      </c>
      <c r="F352" s="8" t="s">
        <v>35</v>
      </c>
      <c r="G352" s="8">
        <v>0</v>
      </c>
      <c r="H352" s="8" t="s">
        <v>37</v>
      </c>
      <c r="I352" s="8" t="s">
        <v>18</v>
      </c>
      <c r="J352" s="8" t="s">
        <v>46</v>
      </c>
      <c r="K352" s="8" t="s">
        <v>27</v>
      </c>
      <c r="L352" s="10">
        <v>0</v>
      </c>
      <c r="M352" s="17" t="s">
        <v>75</v>
      </c>
      <c r="N352" s="6">
        <v>2021</v>
      </c>
    </row>
    <row r="353" spans="1:14" x14ac:dyDescent="0.25">
      <c r="A353" s="6">
        <v>352</v>
      </c>
      <c r="B353" s="7">
        <v>44421</v>
      </c>
      <c r="C353" s="8" t="s">
        <v>64</v>
      </c>
      <c r="D353" s="8" t="s">
        <v>14</v>
      </c>
      <c r="E353" s="9" t="s">
        <v>15</v>
      </c>
      <c r="F353" s="8" t="s">
        <v>62</v>
      </c>
      <c r="G353" s="8">
        <v>0</v>
      </c>
      <c r="H353" s="8" t="s">
        <v>37</v>
      </c>
      <c r="I353" s="8" t="s">
        <v>39</v>
      </c>
      <c r="J353" s="8" t="s">
        <v>19</v>
      </c>
      <c r="K353" s="8" t="s">
        <v>40</v>
      </c>
      <c r="L353" s="10">
        <v>53</v>
      </c>
      <c r="M353" s="17" t="s">
        <v>75</v>
      </c>
      <c r="N353" s="6">
        <v>2021</v>
      </c>
    </row>
    <row r="354" spans="1:14" x14ac:dyDescent="0.25">
      <c r="A354" s="6">
        <v>353</v>
      </c>
      <c r="B354" s="7">
        <v>44424</v>
      </c>
      <c r="C354" s="8" t="s">
        <v>58</v>
      </c>
      <c r="D354" s="8" t="s">
        <v>14</v>
      </c>
      <c r="E354" s="9" t="s">
        <v>47</v>
      </c>
      <c r="F354" s="8" t="s">
        <v>23</v>
      </c>
      <c r="G354" s="8">
        <v>2</v>
      </c>
      <c r="H354" s="8" t="s">
        <v>49</v>
      </c>
      <c r="I354" s="8" t="s">
        <v>25</v>
      </c>
      <c r="J354" s="8" t="s">
        <v>26</v>
      </c>
      <c r="K354" s="8" t="s">
        <v>40</v>
      </c>
      <c r="L354" s="10">
        <v>4160</v>
      </c>
      <c r="M354" s="17" t="s">
        <v>75</v>
      </c>
      <c r="N354" s="6">
        <v>2021</v>
      </c>
    </row>
    <row r="355" spans="1:14" x14ac:dyDescent="0.25">
      <c r="A355" s="6">
        <v>354</v>
      </c>
      <c r="B355" s="7">
        <v>44426</v>
      </c>
      <c r="C355" s="8" t="s">
        <v>65</v>
      </c>
      <c r="D355" s="8" t="s">
        <v>14</v>
      </c>
      <c r="E355" s="9" t="s">
        <v>47</v>
      </c>
      <c r="F355" s="8" t="s">
        <v>29</v>
      </c>
      <c r="G355" s="8">
        <v>4.5</v>
      </c>
      <c r="H355" s="8" t="s">
        <v>30</v>
      </c>
      <c r="I355" s="8" t="s">
        <v>25</v>
      </c>
      <c r="J355" s="8" t="s">
        <v>46</v>
      </c>
      <c r="K355" s="8" t="s">
        <v>52</v>
      </c>
      <c r="L355" s="10">
        <v>2988</v>
      </c>
      <c r="M355" s="17" t="s">
        <v>75</v>
      </c>
      <c r="N355" s="6">
        <v>2021</v>
      </c>
    </row>
    <row r="356" spans="1:14" x14ac:dyDescent="0.25">
      <c r="A356" s="6">
        <v>355</v>
      </c>
      <c r="B356" s="7">
        <v>44427</v>
      </c>
      <c r="C356" s="8" t="s">
        <v>61</v>
      </c>
      <c r="D356" s="8" t="s">
        <v>33</v>
      </c>
      <c r="E356" s="9" t="s">
        <v>15</v>
      </c>
      <c r="F356" s="8" t="s">
        <v>63</v>
      </c>
      <c r="G356" s="8">
        <v>0</v>
      </c>
      <c r="H356" s="8" t="s">
        <v>55</v>
      </c>
      <c r="I356" s="8" t="s">
        <v>18</v>
      </c>
      <c r="J356" s="8" t="s">
        <v>26</v>
      </c>
      <c r="K356" s="8" t="s">
        <v>20</v>
      </c>
      <c r="L356" s="10">
        <v>0</v>
      </c>
      <c r="M356" s="17" t="s">
        <v>75</v>
      </c>
      <c r="N356" s="6">
        <v>2021</v>
      </c>
    </row>
    <row r="357" spans="1:14" x14ac:dyDescent="0.25">
      <c r="A357" s="6">
        <v>356</v>
      </c>
      <c r="B357" s="7">
        <v>44429</v>
      </c>
      <c r="C357" s="8" t="s">
        <v>64</v>
      </c>
      <c r="D357" s="8" t="s">
        <v>14</v>
      </c>
      <c r="E357" s="9" t="s">
        <v>47</v>
      </c>
      <c r="F357" s="8" t="s">
        <v>38</v>
      </c>
      <c r="G357" s="8">
        <v>3.5</v>
      </c>
      <c r="H357" s="8" t="s">
        <v>24</v>
      </c>
      <c r="I357" s="8" t="s">
        <v>25</v>
      </c>
      <c r="J357" s="8" t="s">
        <v>19</v>
      </c>
      <c r="K357" s="8" t="s">
        <v>20</v>
      </c>
      <c r="L357" s="10">
        <v>1155</v>
      </c>
      <c r="M357" s="17" t="s">
        <v>75</v>
      </c>
      <c r="N357" s="6">
        <v>2021</v>
      </c>
    </row>
    <row r="358" spans="1:14" x14ac:dyDescent="0.25">
      <c r="A358" s="6">
        <v>357</v>
      </c>
      <c r="B358" s="7">
        <v>44430</v>
      </c>
      <c r="C358" s="8" t="s">
        <v>32</v>
      </c>
      <c r="D358" s="8" t="s">
        <v>14</v>
      </c>
      <c r="E358" s="9" t="s">
        <v>47</v>
      </c>
      <c r="F358" s="8" t="s">
        <v>48</v>
      </c>
      <c r="G358" s="8">
        <v>0</v>
      </c>
      <c r="H358" s="8" t="s">
        <v>37</v>
      </c>
      <c r="I358" s="8" t="s">
        <v>18</v>
      </c>
      <c r="J358" s="8" t="s">
        <v>46</v>
      </c>
      <c r="K358" s="8" t="s">
        <v>59</v>
      </c>
      <c r="L358" s="10">
        <v>0</v>
      </c>
      <c r="M358" s="17" t="s">
        <v>75</v>
      </c>
      <c r="N358" s="6">
        <v>2021</v>
      </c>
    </row>
    <row r="359" spans="1:14" x14ac:dyDescent="0.25">
      <c r="A359" s="6">
        <v>358</v>
      </c>
      <c r="B359" s="7">
        <v>44430</v>
      </c>
      <c r="C359" s="8" t="s">
        <v>56</v>
      </c>
      <c r="D359" s="8" t="s">
        <v>14</v>
      </c>
      <c r="E359" s="9" t="s">
        <v>15</v>
      </c>
      <c r="F359" s="8" t="s">
        <v>23</v>
      </c>
      <c r="G359" s="8">
        <v>2</v>
      </c>
      <c r="H359" s="8" t="s">
        <v>60</v>
      </c>
      <c r="I359" s="8" t="s">
        <v>25</v>
      </c>
      <c r="J359" s="8" t="s">
        <v>26</v>
      </c>
      <c r="K359" s="8" t="s">
        <v>40</v>
      </c>
      <c r="L359" s="10">
        <v>1902</v>
      </c>
      <c r="M359" s="17" t="s">
        <v>75</v>
      </c>
      <c r="N359" s="6">
        <v>2021</v>
      </c>
    </row>
    <row r="360" spans="1:14" x14ac:dyDescent="0.25">
      <c r="A360" s="6">
        <v>359</v>
      </c>
      <c r="B360" s="7">
        <v>44430</v>
      </c>
      <c r="C360" s="8" t="s">
        <v>51</v>
      </c>
      <c r="D360" s="8" t="s">
        <v>14</v>
      </c>
      <c r="E360" s="9" t="s">
        <v>15</v>
      </c>
      <c r="F360" s="8" t="s">
        <v>23</v>
      </c>
      <c r="G360" s="8">
        <v>0</v>
      </c>
      <c r="H360" s="8" t="s">
        <v>60</v>
      </c>
      <c r="I360" s="8" t="s">
        <v>18</v>
      </c>
      <c r="J360" s="8" t="s">
        <v>19</v>
      </c>
      <c r="K360" s="8" t="s">
        <v>50</v>
      </c>
      <c r="L360" s="10">
        <v>0</v>
      </c>
      <c r="M360" s="17" t="s">
        <v>75</v>
      </c>
      <c r="N360" s="6">
        <v>2021</v>
      </c>
    </row>
    <row r="361" spans="1:14" x14ac:dyDescent="0.25">
      <c r="A361" s="6">
        <v>360</v>
      </c>
      <c r="B361" s="7">
        <v>44431</v>
      </c>
      <c r="C361" s="8" t="s">
        <v>28</v>
      </c>
      <c r="D361" s="8" t="s">
        <v>14</v>
      </c>
      <c r="E361" s="9" t="s">
        <v>15</v>
      </c>
      <c r="F361" s="8" t="s">
        <v>16</v>
      </c>
      <c r="G361" s="8">
        <v>2.5</v>
      </c>
      <c r="H361" s="8" t="s">
        <v>30</v>
      </c>
      <c r="I361" s="8" t="s">
        <v>25</v>
      </c>
      <c r="J361" s="8" t="s">
        <v>26</v>
      </c>
      <c r="K361" s="8" t="s">
        <v>40</v>
      </c>
      <c r="L361" s="10">
        <v>3817</v>
      </c>
      <c r="M361" s="17" t="s">
        <v>75</v>
      </c>
      <c r="N361" s="6">
        <v>2021</v>
      </c>
    </row>
    <row r="362" spans="1:14" x14ac:dyDescent="0.25">
      <c r="A362" s="6">
        <v>361</v>
      </c>
      <c r="B362" s="7">
        <v>44432</v>
      </c>
      <c r="C362" s="8" t="s">
        <v>61</v>
      </c>
      <c r="D362" s="8" t="s">
        <v>33</v>
      </c>
      <c r="E362" s="9" t="s">
        <v>22</v>
      </c>
      <c r="F362" s="8" t="s">
        <v>16</v>
      </c>
      <c r="G362" s="8">
        <v>0</v>
      </c>
      <c r="H362" s="8" t="s">
        <v>55</v>
      </c>
      <c r="I362" s="8" t="s">
        <v>18</v>
      </c>
      <c r="J362" s="8" t="s">
        <v>19</v>
      </c>
      <c r="K362" s="8" t="s">
        <v>50</v>
      </c>
      <c r="L362" s="10">
        <v>0</v>
      </c>
      <c r="M362" s="17" t="s">
        <v>75</v>
      </c>
      <c r="N362" s="6">
        <v>2021</v>
      </c>
    </row>
    <row r="363" spans="1:14" x14ac:dyDescent="0.25">
      <c r="A363" s="6">
        <v>362</v>
      </c>
      <c r="B363" s="7">
        <v>44437</v>
      </c>
      <c r="C363" s="8" t="s">
        <v>13</v>
      </c>
      <c r="D363" s="8" t="s">
        <v>14</v>
      </c>
      <c r="E363" s="9" t="s">
        <v>47</v>
      </c>
      <c r="F363" s="8" t="s">
        <v>36</v>
      </c>
      <c r="G363" s="8">
        <v>0</v>
      </c>
      <c r="H363" s="8" t="s">
        <v>30</v>
      </c>
      <c r="I363" s="8" t="s">
        <v>18</v>
      </c>
      <c r="J363" s="8" t="s">
        <v>19</v>
      </c>
      <c r="K363" s="8" t="s">
        <v>59</v>
      </c>
      <c r="L363" s="10">
        <v>0</v>
      </c>
      <c r="M363" s="17" t="s">
        <v>75</v>
      </c>
      <c r="N363" s="6">
        <v>2021</v>
      </c>
    </row>
    <row r="364" spans="1:14" x14ac:dyDescent="0.25">
      <c r="A364" s="6">
        <v>363</v>
      </c>
      <c r="B364" s="7">
        <v>44437</v>
      </c>
      <c r="C364" s="8" t="s">
        <v>13</v>
      </c>
      <c r="D364" s="8" t="s">
        <v>14</v>
      </c>
      <c r="E364" s="9" t="s">
        <v>47</v>
      </c>
      <c r="F364" s="8" t="s">
        <v>62</v>
      </c>
      <c r="G364" s="8">
        <v>0</v>
      </c>
      <c r="H364" s="8" t="s">
        <v>60</v>
      </c>
      <c r="I364" s="8" t="s">
        <v>39</v>
      </c>
      <c r="J364" s="8" t="s">
        <v>19</v>
      </c>
      <c r="K364" s="8" t="s">
        <v>54</v>
      </c>
      <c r="L364" s="10">
        <v>302</v>
      </c>
      <c r="M364" s="17" t="s">
        <v>75</v>
      </c>
      <c r="N364" s="6">
        <v>2021</v>
      </c>
    </row>
    <row r="365" spans="1:14" x14ac:dyDescent="0.25">
      <c r="A365" s="6">
        <v>364</v>
      </c>
      <c r="B365" s="7">
        <v>44440</v>
      </c>
      <c r="C365" s="8" t="s">
        <v>51</v>
      </c>
      <c r="D365" s="8" t="s">
        <v>14</v>
      </c>
      <c r="E365" s="9" t="s">
        <v>34</v>
      </c>
      <c r="F365" s="8" t="s">
        <v>29</v>
      </c>
      <c r="G365" s="8">
        <v>0</v>
      </c>
      <c r="H365" s="8" t="s">
        <v>37</v>
      </c>
      <c r="I365" s="8" t="s">
        <v>39</v>
      </c>
      <c r="J365" s="8" t="s">
        <v>26</v>
      </c>
      <c r="K365" s="8" t="s">
        <v>40</v>
      </c>
      <c r="L365" s="10">
        <v>95</v>
      </c>
      <c r="M365" s="17" t="s">
        <v>76</v>
      </c>
      <c r="N365" s="6">
        <v>2021</v>
      </c>
    </row>
    <row r="366" spans="1:14" x14ac:dyDescent="0.25">
      <c r="A366" s="6">
        <v>365</v>
      </c>
      <c r="B366" s="7">
        <v>44442</v>
      </c>
      <c r="C366" s="8" t="s">
        <v>28</v>
      </c>
      <c r="D366" s="8" t="s">
        <v>14</v>
      </c>
      <c r="E366" s="9" t="s">
        <v>15</v>
      </c>
      <c r="F366" s="8" t="s">
        <v>29</v>
      </c>
      <c r="G366" s="8">
        <v>0</v>
      </c>
      <c r="H366" s="8" t="s">
        <v>30</v>
      </c>
      <c r="I366" s="8" t="s">
        <v>53</v>
      </c>
      <c r="J366" s="8" t="s">
        <v>19</v>
      </c>
      <c r="K366" s="8" t="s">
        <v>52</v>
      </c>
      <c r="L366" s="10">
        <v>4834</v>
      </c>
      <c r="M366" s="17" t="s">
        <v>76</v>
      </c>
      <c r="N366" s="6">
        <v>2021</v>
      </c>
    </row>
    <row r="367" spans="1:14" x14ac:dyDescent="0.25">
      <c r="A367" s="6">
        <v>366</v>
      </c>
      <c r="B367" s="7">
        <v>44442</v>
      </c>
      <c r="C367" s="8" t="s">
        <v>13</v>
      </c>
      <c r="D367" s="8" t="s">
        <v>14</v>
      </c>
      <c r="E367" s="9" t="s">
        <v>34</v>
      </c>
      <c r="F367" s="8" t="s">
        <v>35</v>
      </c>
      <c r="G367" s="8">
        <v>0</v>
      </c>
      <c r="H367" s="8" t="s">
        <v>17</v>
      </c>
      <c r="I367" s="8" t="s">
        <v>18</v>
      </c>
      <c r="J367" s="8" t="s">
        <v>26</v>
      </c>
      <c r="K367" s="8" t="s">
        <v>27</v>
      </c>
      <c r="L367" s="10">
        <v>0</v>
      </c>
      <c r="M367" s="17" t="s">
        <v>76</v>
      </c>
      <c r="N367" s="6">
        <v>2021</v>
      </c>
    </row>
    <row r="368" spans="1:14" x14ac:dyDescent="0.25">
      <c r="A368" s="6">
        <v>367</v>
      </c>
      <c r="B368" s="7">
        <v>44445</v>
      </c>
      <c r="C368" s="8" t="s">
        <v>32</v>
      </c>
      <c r="D368" s="8" t="s">
        <v>33</v>
      </c>
      <c r="E368" s="9" t="s">
        <v>47</v>
      </c>
      <c r="F368" s="8" t="s">
        <v>35</v>
      </c>
      <c r="G368" s="8">
        <v>0</v>
      </c>
      <c r="H368" s="8" t="s">
        <v>55</v>
      </c>
      <c r="I368" s="8" t="s">
        <v>53</v>
      </c>
      <c r="J368" s="8" t="s">
        <v>26</v>
      </c>
      <c r="K368" s="8" t="s">
        <v>54</v>
      </c>
      <c r="L368" s="10">
        <v>1433</v>
      </c>
      <c r="M368" s="17" t="s">
        <v>76</v>
      </c>
      <c r="N368" s="6">
        <v>2021</v>
      </c>
    </row>
    <row r="369" spans="1:14" x14ac:dyDescent="0.25">
      <c r="A369" s="6">
        <v>368</v>
      </c>
      <c r="B369" s="7">
        <v>44449</v>
      </c>
      <c r="C369" s="8" t="s">
        <v>44</v>
      </c>
      <c r="D369" s="8" t="s">
        <v>14</v>
      </c>
      <c r="E369" s="9" t="s">
        <v>34</v>
      </c>
      <c r="F369" s="8" t="s">
        <v>35</v>
      </c>
      <c r="G369" s="8">
        <v>0</v>
      </c>
      <c r="H369" s="8" t="s">
        <v>60</v>
      </c>
      <c r="I369" s="8" t="s">
        <v>18</v>
      </c>
      <c r="J369" s="8" t="s">
        <v>26</v>
      </c>
      <c r="K369" s="8" t="s">
        <v>50</v>
      </c>
      <c r="L369" s="10">
        <v>0</v>
      </c>
      <c r="M369" s="17" t="s">
        <v>76</v>
      </c>
      <c r="N369" s="6">
        <v>2021</v>
      </c>
    </row>
    <row r="370" spans="1:14" x14ac:dyDescent="0.25">
      <c r="A370" s="6">
        <v>369</v>
      </c>
      <c r="B370" s="7">
        <v>44450</v>
      </c>
      <c r="C370" s="8" t="s">
        <v>56</v>
      </c>
      <c r="D370" s="8" t="s">
        <v>14</v>
      </c>
      <c r="E370" s="9" t="s">
        <v>47</v>
      </c>
      <c r="F370" s="8" t="s">
        <v>16</v>
      </c>
      <c r="G370" s="8">
        <v>0</v>
      </c>
      <c r="H370" s="8" t="s">
        <v>57</v>
      </c>
      <c r="I370" s="8" t="s">
        <v>39</v>
      </c>
      <c r="J370" s="8" t="s">
        <v>19</v>
      </c>
      <c r="K370" s="8" t="s">
        <v>54</v>
      </c>
      <c r="L370" s="10">
        <v>159</v>
      </c>
      <c r="M370" s="17" t="s">
        <v>76</v>
      </c>
      <c r="N370" s="6">
        <v>2021</v>
      </c>
    </row>
    <row r="371" spans="1:14" x14ac:dyDescent="0.25">
      <c r="A371" s="6">
        <v>370</v>
      </c>
      <c r="B371" s="7">
        <v>44454</v>
      </c>
      <c r="C371" s="8" t="s">
        <v>28</v>
      </c>
      <c r="D371" s="8" t="s">
        <v>14</v>
      </c>
      <c r="E371" s="9" t="s">
        <v>47</v>
      </c>
      <c r="F371" s="8" t="s">
        <v>62</v>
      </c>
      <c r="G371" s="8">
        <v>0</v>
      </c>
      <c r="H371" s="8" t="s">
        <v>60</v>
      </c>
      <c r="I371" s="8" t="s">
        <v>18</v>
      </c>
      <c r="J371" s="8" t="s">
        <v>46</v>
      </c>
      <c r="K371" s="8" t="s">
        <v>40</v>
      </c>
      <c r="L371" s="10">
        <v>0</v>
      </c>
      <c r="M371" s="17" t="s">
        <v>76</v>
      </c>
      <c r="N371" s="6">
        <v>2021</v>
      </c>
    </row>
    <row r="372" spans="1:14" x14ac:dyDescent="0.25">
      <c r="A372" s="6">
        <v>371</v>
      </c>
      <c r="B372" s="7">
        <v>44456</v>
      </c>
      <c r="C372" s="8" t="s">
        <v>32</v>
      </c>
      <c r="D372" s="8" t="s">
        <v>14</v>
      </c>
      <c r="E372" s="9" t="s">
        <v>34</v>
      </c>
      <c r="F372" s="8" t="s">
        <v>38</v>
      </c>
      <c r="G372" s="8">
        <v>4</v>
      </c>
      <c r="H372" s="8" t="s">
        <v>30</v>
      </c>
      <c r="I372" s="8" t="s">
        <v>25</v>
      </c>
      <c r="J372" s="8" t="s">
        <v>46</v>
      </c>
      <c r="K372" s="8" t="s">
        <v>43</v>
      </c>
      <c r="L372" s="10">
        <v>4771</v>
      </c>
      <c r="M372" s="17" t="s">
        <v>76</v>
      </c>
      <c r="N372" s="6">
        <v>2021</v>
      </c>
    </row>
    <row r="373" spans="1:14" x14ac:dyDescent="0.25">
      <c r="A373" s="6">
        <v>372</v>
      </c>
      <c r="B373" s="7">
        <v>44457</v>
      </c>
      <c r="C373" s="8" t="s">
        <v>65</v>
      </c>
      <c r="D373" s="8" t="s">
        <v>14</v>
      </c>
      <c r="E373" s="9" t="s">
        <v>34</v>
      </c>
      <c r="F373" s="8" t="s">
        <v>63</v>
      </c>
      <c r="G373" s="8">
        <v>3.5</v>
      </c>
      <c r="H373" s="8" t="s">
        <v>30</v>
      </c>
      <c r="I373" s="8" t="s">
        <v>25</v>
      </c>
      <c r="J373" s="8" t="s">
        <v>26</v>
      </c>
      <c r="K373" s="8" t="s">
        <v>52</v>
      </c>
      <c r="L373" s="10">
        <v>3378</v>
      </c>
      <c r="M373" s="17" t="s">
        <v>76</v>
      </c>
      <c r="N373" s="6">
        <v>2021</v>
      </c>
    </row>
    <row r="374" spans="1:14" x14ac:dyDescent="0.25">
      <c r="A374" s="6">
        <v>373</v>
      </c>
      <c r="B374" s="7">
        <v>44458</v>
      </c>
      <c r="C374" s="8" t="s">
        <v>61</v>
      </c>
      <c r="D374" s="8" t="s">
        <v>14</v>
      </c>
      <c r="E374" s="9" t="s">
        <v>15</v>
      </c>
      <c r="F374" s="8" t="s">
        <v>36</v>
      </c>
      <c r="G374" s="8">
        <v>0</v>
      </c>
      <c r="H374" s="8" t="s">
        <v>30</v>
      </c>
      <c r="I374" s="8" t="s">
        <v>53</v>
      </c>
      <c r="J374" s="8" t="s">
        <v>26</v>
      </c>
      <c r="K374" s="8" t="s">
        <v>52</v>
      </c>
      <c r="L374" s="10">
        <v>3713</v>
      </c>
      <c r="M374" s="17" t="s">
        <v>76</v>
      </c>
      <c r="N374" s="6">
        <v>2021</v>
      </c>
    </row>
    <row r="375" spans="1:14" x14ac:dyDescent="0.25">
      <c r="A375" s="6">
        <v>374</v>
      </c>
      <c r="B375" s="7">
        <v>44459</v>
      </c>
      <c r="C375" s="8" t="s">
        <v>64</v>
      </c>
      <c r="D375" s="8" t="s">
        <v>14</v>
      </c>
      <c r="E375" s="9" t="s">
        <v>47</v>
      </c>
      <c r="F375" s="8" t="s">
        <v>35</v>
      </c>
      <c r="G375" s="8">
        <v>0</v>
      </c>
      <c r="H375" s="8" t="s">
        <v>49</v>
      </c>
      <c r="I375" s="8" t="s">
        <v>18</v>
      </c>
      <c r="J375" s="8" t="s">
        <v>46</v>
      </c>
      <c r="K375" s="8" t="s">
        <v>52</v>
      </c>
      <c r="L375" s="10">
        <v>0</v>
      </c>
      <c r="M375" s="17" t="s">
        <v>76</v>
      </c>
      <c r="N375" s="6">
        <v>2021</v>
      </c>
    </row>
    <row r="376" spans="1:14" x14ac:dyDescent="0.25">
      <c r="A376" s="6">
        <v>375</v>
      </c>
      <c r="B376" s="7">
        <v>44463</v>
      </c>
      <c r="C376" s="8" t="s">
        <v>64</v>
      </c>
      <c r="D376" s="8" t="s">
        <v>14</v>
      </c>
      <c r="E376" s="9" t="s">
        <v>15</v>
      </c>
      <c r="F376" s="8" t="s">
        <v>29</v>
      </c>
      <c r="G376" s="8">
        <v>0</v>
      </c>
      <c r="H376" s="8" t="s">
        <v>55</v>
      </c>
      <c r="I376" s="8" t="s">
        <v>53</v>
      </c>
      <c r="J376" s="8" t="s">
        <v>26</v>
      </c>
      <c r="K376" s="8" t="s">
        <v>52</v>
      </c>
      <c r="L376" s="10">
        <v>4994</v>
      </c>
      <c r="M376" s="17" t="s">
        <v>76</v>
      </c>
      <c r="N376" s="6">
        <v>2021</v>
      </c>
    </row>
    <row r="377" spans="1:14" x14ac:dyDescent="0.25">
      <c r="A377" s="6">
        <v>376</v>
      </c>
      <c r="B377" s="7">
        <v>44467</v>
      </c>
      <c r="C377" s="8" t="s">
        <v>58</v>
      </c>
      <c r="D377" s="8" t="s">
        <v>33</v>
      </c>
      <c r="E377" s="9" t="s">
        <v>34</v>
      </c>
      <c r="F377" s="8" t="s">
        <v>29</v>
      </c>
      <c r="G377" s="8">
        <v>0</v>
      </c>
      <c r="H377" s="8" t="s">
        <v>45</v>
      </c>
      <c r="I377" s="8" t="s">
        <v>39</v>
      </c>
      <c r="J377" s="8" t="s">
        <v>46</v>
      </c>
      <c r="K377" s="8" t="s">
        <v>43</v>
      </c>
      <c r="L377" s="10">
        <v>238</v>
      </c>
      <c r="M377" s="17" t="s">
        <v>76</v>
      </c>
      <c r="N377" s="6">
        <v>2021</v>
      </c>
    </row>
    <row r="378" spans="1:14" x14ac:dyDescent="0.25">
      <c r="A378" s="6">
        <v>377</v>
      </c>
      <c r="B378" s="7">
        <v>44468</v>
      </c>
      <c r="C378" s="8" t="s">
        <v>32</v>
      </c>
      <c r="D378" s="8" t="s">
        <v>14</v>
      </c>
      <c r="E378" s="9" t="s">
        <v>15</v>
      </c>
      <c r="F378" s="8" t="s">
        <v>23</v>
      </c>
      <c r="G378" s="8">
        <v>0</v>
      </c>
      <c r="H378" s="8" t="s">
        <v>30</v>
      </c>
      <c r="I378" s="8" t="s">
        <v>39</v>
      </c>
      <c r="J378" s="8" t="s">
        <v>19</v>
      </c>
      <c r="K378" s="8" t="s">
        <v>43</v>
      </c>
      <c r="L378" s="10">
        <v>209</v>
      </c>
      <c r="M378" s="17" t="s">
        <v>76</v>
      </c>
      <c r="N378" s="6">
        <v>2021</v>
      </c>
    </row>
    <row r="379" spans="1:14" x14ac:dyDescent="0.25">
      <c r="A379" s="6">
        <v>378</v>
      </c>
      <c r="B379" s="7">
        <v>44470</v>
      </c>
      <c r="C379" s="8" t="s">
        <v>65</v>
      </c>
      <c r="D379" s="8" t="s">
        <v>14</v>
      </c>
      <c r="E379" s="9" t="s">
        <v>47</v>
      </c>
      <c r="F379" s="8" t="s">
        <v>35</v>
      </c>
      <c r="G379" s="8">
        <v>0</v>
      </c>
      <c r="H379" s="8" t="s">
        <v>24</v>
      </c>
      <c r="I379" s="8" t="s">
        <v>53</v>
      </c>
      <c r="J379" s="8" t="s">
        <v>19</v>
      </c>
      <c r="K379" s="8" t="s">
        <v>20</v>
      </c>
      <c r="L379" s="10">
        <v>2120</v>
      </c>
      <c r="M379" s="17" t="s">
        <v>77</v>
      </c>
      <c r="N379" s="6">
        <v>2021</v>
      </c>
    </row>
    <row r="380" spans="1:14" x14ac:dyDescent="0.25">
      <c r="A380" s="6">
        <v>379</v>
      </c>
      <c r="B380" s="7">
        <v>44470</v>
      </c>
      <c r="C380" s="8" t="s">
        <v>13</v>
      </c>
      <c r="D380" s="8" t="s">
        <v>33</v>
      </c>
      <c r="E380" s="9" t="s">
        <v>47</v>
      </c>
      <c r="F380" s="8" t="s">
        <v>23</v>
      </c>
      <c r="G380" s="8">
        <v>0</v>
      </c>
      <c r="H380" s="8" t="s">
        <v>57</v>
      </c>
      <c r="I380" s="8" t="s">
        <v>18</v>
      </c>
      <c r="J380" s="8" t="s">
        <v>19</v>
      </c>
      <c r="K380" s="8" t="s">
        <v>20</v>
      </c>
      <c r="L380" s="10">
        <v>0</v>
      </c>
      <c r="M380" s="17" t="s">
        <v>77</v>
      </c>
      <c r="N380" s="6">
        <v>2021</v>
      </c>
    </row>
    <row r="381" spans="1:14" x14ac:dyDescent="0.25">
      <c r="A381" s="6">
        <v>380</v>
      </c>
      <c r="B381" s="7">
        <v>44474</v>
      </c>
      <c r="C381" s="8" t="s">
        <v>44</v>
      </c>
      <c r="D381" s="8" t="s">
        <v>14</v>
      </c>
      <c r="E381" s="9" t="s">
        <v>47</v>
      </c>
      <c r="F381" s="8" t="s">
        <v>23</v>
      </c>
      <c r="G381" s="8">
        <v>1</v>
      </c>
      <c r="H381" s="8" t="s">
        <v>49</v>
      </c>
      <c r="I381" s="8" t="s">
        <v>25</v>
      </c>
      <c r="J381" s="8" t="s">
        <v>26</v>
      </c>
      <c r="K381" s="8" t="s">
        <v>27</v>
      </c>
      <c r="L381" s="10">
        <v>2245</v>
      </c>
      <c r="M381" s="17" t="s">
        <v>77</v>
      </c>
      <c r="N381" s="6">
        <v>2021</v>
      </c>
    </row>
    <row r="382" spans="1:14" x14ac:dyDescent="0.25">
      <c r="A382" s="6">
        <v>381</v>
      </c>
      <c r="B382" s="7">
        <v>44479</v>
      </c>
      <c r="C382" s="8" t="s">
        <v>61</v>
      </c>
      <c r="D382" s="8" t="s">
        <v>14</v>
      </c>
      <c r="E382" s="9" t="s">
        <v>47</v>
      </c>
      <c r="F382" s="8" t="s">
        <v>38</v>
      </c>
      <c r="G382" s="8">
        <v>0</v>
      </c>
      <c r="H382" s="8" t="s">
        <v>45</v>
      </c>
      <c r="I382" s="8" t="s">
        <v>39</v>
      </c>
      <c r="J382" s="8" t="s">
        <v>19</v>
      </c>
      <c r="K382" s="8" t="s">
        <v>43</v>
      </c>
      <c r="L382" s="10">
        <v>118</v>
      </c>
      <c r="M382" s="17" t="s">
        <v>77</v>
      </c>
      <c r="N382" s="6">
        <v>2021</v>
      </c>
    </row>
    <row r="383" spans="1:14" x14ac:dyDescent="0.25">
      <c r="A383" s="6">
        <v>382</v>
      </c>
      <c r="B383" s="7">
        <v>44482</v>
      </c>
      <c r="C383" s="8" t="s">
        <v>44</v>
      </c>
      <c r="D383" s="8" t="s">
        <v>14</v>
      </c>
      <c r="E383" s="9" t="s">
        <v>22</v>
      </c>
      <c r="F383" s="8" t="s">
        <v>35</v>
      </c>
      <c r="G383" s="8">
        <v>0</v>
      </c>
      <c r="H383" s="8" t="s">
        <v>49</v>
      </c>
      <c r="I383" s="8" t="s">
        <v>53</v>
      </c>
      <c r="J383" s="8" t="s">
        <v>19</v>
      </c>
      <c r="K383" s="8" t="s">
        <v>59</v>
      </c>
      <c r="L383" s="10">
        <v>534</v>
      </c>
      <c r="M383" s="17" t="s">
        <v>77</v>
      </c>
      <c r="N383" s="6">
        <v>2021</v>
      </c>
    </row>
    <row r="384" spans="1:14" x14ac:dyDescent="0.25">
      <c r="A384" s="6">
        <v>383</v>
      </c>
      <c r="B384" s="7">
        <v>44483</v>
      </c>
      <c r="C384" s="8" t="s">
        <v>58</v>
      </c>
      <c r="D384" s="8" t="s">
        <v>14</v>
      </c>
      <c r="E384" s="9" t="s">
        <v>15</v>
      </c>
      <c r="F384" s="8" t="s">
        <v>36</v>
      </c>
      <c r="G384" s="8">
        <v>0</v>
      </c>
      <c r="H384" s="8" t="s">
        <v>57</v>
      </c>
      <c r="I384" s="8" t="s">
        <v>18</v>
      </c>
      <c r="J384" s="8" t="s">
        <v>19</v>
      </c>
      <c r="K384" s="8" t="s">
        <v>59</v>
      </c>
      <c r="L384" s="10">
        <v>0</v>
      </c>
      <c r="M384" s="17" t="s">
        <v>77</v>
      </c>
      <c r="N384" s="6">
        <v>2021</v>
      </c>
    </row>
    <row r="385" spans="1:14" x14ac:dyDescent="0.25">
      <c r="A385" s="6">
        <v>384</v>
      </c>
      <c r="B385" s="7">
        <v>44483</v>
      </c>
      <c r="C385" s="8" t="s">
        <v>13</v>
      </c>
      <c r="D385" s="8" t="s">
        <v>14</v>
      </c>
      <c r="E385" s="9" t="s">
        <v>34</v>
      </c>
      <c r="F385" s="8" t="s">
        <v>38</v>
      </c>
      <c r="G385" s="8">
        <v>0</v>
      </c>
      <c r="H385" s="8" t="s">
        <v>55</v>
      </c>
      <c r="I385" s="8" t="s">
        <v>39</v>
      </c>
      <c r="J385" s="8" t="s">
        <v>26</v>
      </c>
      <c r="K385" s="8" t="s">
        <v>59</v>
      </c>
      <c r="L385" s="10">
        <v>420</v>
      </c>
      <c r="M385" s="17" t="s">
        <v>77</v>
      </c>
      <c r="N385" s="6">
        <v>2021</v>
      </c>
    </row>
    <row r="386" spans="1:14" x14ac:dyDescent="0.25">
      <c r="A386" s="6">
        <v>385</v>
      </c>
      <c r="B386" s="7">
        <v>44484</v>
      </c>
      <c r="C386" s="8" t="s">
        <v>21</v>
      </c>
      <c r="D386" s="8" t="s">
        <v>33</v>
      </c>
      <c r="E386" s="9" t="s">
        <v>34</v>
      </c>
      <c r="F386" s="8" t="s">
        <v>62</v>
      </c>
      <c r="G386" s="8">
        <v>4</v>
      </c>
      <c r="H386" s="8" t="s">
        <v>55</v>
      </c>
      <c r="I386" s="8" t="s">
        <v>25</v>
      </c>
      <c r="J386" s="8" t="s">
        <v>19</v>
      </c>
      <c r="K386" s="8" t="s">
        <v>20</v>
      </c>
      <c r="L386" s="10">
        <v>2622</v>
      </c>
      <c r="M386" s="17" t="s">
        <v>77</v>
      </c>
      <c r="N386" s="6">
        <v>2021</v>
      </c>
    </row>
    <row r="387" spans="1:14" x14ac:dyDescent="0.25">
      <c r="A387" s="6">
        <v>386</v>
      </c>
      <c r="B387" s="7">
        <v>44485</v>
      </c>
      <c r="C387" s="8" t="s">
        <v>65</v>
      </c>
      <c r="D387" s="8" t="s">
        <v>14</v>
      </c>
      <c r="E387" s="9" t="s">
        <v>34</v>
      </c>
      <c r="F387" s="8" t="s">
        <v>23</v>
      </c>
      <c r="G387" s="8">
        <v>3.5</v>
      </c>
      <c r="H387" s="8" t="s">
        <v>45</v>
      </c>
      <c r="I387" s="8" t="s">
        <v>25</v>
      </c>
      <c r="J387" s="8" t="s">
        <v>26</v>
      </c>
      <c r="K387" s="8" t="s">
        <v>59</v>
      </c>
      <c r="L387" s="10">
        <v>1213</v>
      </c>
      <c r="M387" s="17" t="s">
        <v>77</v>
      </c>
      <c r="N387" s="6">
        <v>2021</v>
      </c>
    </row>
    <row r="388" spans="1:14" x14ac:dyDescent="0.25">
      <c r="A388" s="6">
        <v>387</v>
      </c>
      <c r="B388" s="7">
        <v>44486</v>
      </c>
      <c r="C388" s="8" t="s">
        <v>32</v>
      </c>
      <c r="D388" s="8" t="s">
        <v>14</v>
      </c>
      <c r="E388" s="9" t="s">
        <v>15</v>
      </c>
      <c r="F388" s="8" t="s">
        <v>29</v>
      </c>
      <c r="G388" s="8">
        <v>0</v>
      </c>
      <c r="H388" s="8" t="s">
        <v>57</v>
      </c>
      <c r="I388" s="8" t="s">
        <v>18</v>
      </c>
      <c r="J388" s="8" t="s">
        <v>19</v>
      </c>
      <c r="K388" s="8" t="s">
        <v>40</v>
      </c>
      <c r="L388" s="10">
        <v>0</v>
      </c>
      <c r="M388" s="17" t="s">
        <v>77</v>
      </c>
      <c r="N388" s="6">
        <v>2021</v>
      </c>
    </row>
    <row r="389" spans="1:14" x14ac:dyDescent="0.25">
      <c r="A389" s="6">
        <v>388</v>
      </c>
      <c r="B389" s="7">
        <v>44488</v>
      </c>
      <c r="C389" s="8" t="s">
        <v>32</v>
      </c>
      <c r="D389" s="8" t="s">
        <v>14</v>
      </c>
      <c r="E389" s="9" t="s">
        <v>34</v>
      </c>
      <c r="F389" s="8" t="s">
        <v>48</v>
      </c>
      <c r="G389" s="8">
        <v>0</v>
      </c>
      <c r="H389" s="8" t="s">
        <v>57</v>
      </c>
      <c r="I389" s="8" t="s">
        <v>39</v>
      </c>
      <c r="J389" s="8" t="s">
        <v>26</v>
      </c>
      <c r="K389" s="8" t="s">
        <v>40</v>
      </c>
      <c r="L389" s="10">
        <v>65</v>
      </c>
      <c r="M389" s="17" t="s">
        <v>77</v>
      </c>
      <c r="N389" s="6">
        <v>2021</v>
      </c>
    </row>
    <row r="390" spans="1:14" x14ac:dyDescent="0.25">
      <c r="A390" s="6">
        <v>389</v>
      </c>
      <c r="B390" s="7">
        <v>44488</v>
      </c>
      <c r="C390" s="8" t="s">
        <v>32</v>
      </c>
      <c r="D390" s="8" t="s">
        <v>14</v>
      </c>
      <c r="E390" s="9" t="s">
        <v>15</v>
      </c>
      <c r="F390" s="8" t="s">
        <v>29</v>
      </c>
      <c r="G390" s="8">
        <v>0</v>
      </c>
      <c r="H390" s="8" t="s">
        <v>57</v>
      </c>
      <c r="I390" s="8" t="s">
        <v>53</v>
      </c>
      <c r="J390" s="8" t="s">
        <v>46</v>
      </c>
      <c r="K390" s="8" t="s">
        <v>52</v>
      </c>
      <c r="L390" s="10">
        <v>2860</v>
      </c>
      <c r="M390" s="17" t="s">
        <v>77</v>
      </c>
      <c r="N390" s="6">
        <v>2021</v>
      </c>
    </row>
    <row r="391" spans="1:14" x14ac:dyDescent="0.25">
      <c r="A391" s="6">
        <v>390</v>
      </c>
      <c r="B391" s="7">
        <v>44492</v>
      </c>
      <c r="C391" s="8" t="s">
        <v>41</v>
      </c>
      <c r="D391" s="8" t="s">
        <v>14</v>
      </c>
      <c r="E391" s="9" t="s">
        <v>34</v>
      </c>
      <c r="F391" s="8" t="s">
        <v>36</v>
      </c>
      <c r="G391" s="8">
        <v>0</v>
      </c>
      <c r="H391" s="8" t="s">
        <v>17</v>
      </c>
      <c r="I391" s="8" t="s">
        <v>39</v>
      </c>
      <c r="J391" s="8" t="s">
        <v>26</v>
      </c>
      <c r="K391" s="8" t="s">
        <v>52</v>
      </c>
      <c r="L391" s="10">
        <v>129</v>
      </c>
      <c r="M391" s="17" t="s">
        <v>77</v>
      </c>
      <c r="N391" s="6">
        <v>2021</v>
      </c>
    </row>
    <row r="392" spans="1:14" x14ac:dyDescent="0.25">
      <c r="A392" s="6">
        <v>391</v>
      </c>
      <c r="B392" s="7">
        <v>44492</v>
      </c>
      <c r="C392" s="8" t="s">
        <v>44</v>
      </c>
      <c r="D392" s="8" t="s">
        <v>14</v>
      </c>
      <c r="E392" s="9" t="s">
        <v>34</v>
      </c>
      <c r="F392" s="8" t="s">
        <v>36</v>
      </c>
      <c r="G392" s="8">
        <v>0</v>
      </c>
      <c r="H392" s="8" t="s">
        <v>55</v>
      </c>
      <c r="I392" s="8" t="s">
        <v>53</v>
      </c>
      <c r="J392" s="8" t="s">
        <v>26</v>
      </c>
      <c r="K392" s="8" t="s">
        <v>54</v>
      </c>
      <c r="L392" s="10">
        <v>4698</v>
      </c>
      <c r="M392" s="17" t="s">
        <v>77</v>
      </c>
      <c r="N392" s="6">
        <v>2021</v>
      </c>
    </row>
    <row r="393" spans="1:14" x14ac:dyDescent="0.25">
      <c r="A393" s="6">
        <v>392</v>
      </c>
      <c r="B393" s="7">
        <v>44495</v>
      </c>
      <c r="C393" s="8" t="s">
        <v>13</v>
      </c>
      <c r="D393" s="8" t="s">
        <v>14</v>
      </c>
      <c r="E393" s="9" t="s">
        <v>34</v>
      </c>
      <c r="F393" s="8" t="s">
        <v>48</v>
      </c>
      <c r="G393" s="8">
        <v>0</v>
      </c>
      <c r="H393" s="8" t="s">
        <v>45</v>
      </c>
      <c r="I393" s="8" t="s">
        <v>18</v>
      </c>
      <c r="J393" s="8" t="s">
        <v>26</v>
      </c>
      <c r="K393" s="8" t="s">
        <v>52</v>
      </c>
      <c r="L393" s="10">
        <v>0</v>
      </c>
      <c r="M393" s="17" t="s">
        <v>77</v>
      </c>
      <c r="N393" s="6">
        <v>2021</v>
      </c>
    </row>
    <row r="394" spans="1:14" x14ac:dyDescent="0.25">
      <c r="A394" s="6">
        <v>393</v>
      </c>
      <c r="B394" s="7">
        <v>44497</v>
      </c>
      <c r="C394" s="8" t="s">
        <v>65</v>
      </c>
      <c r="D394" s="8" t="s">
        <v>14</v>
      </c>
      <c r="E394" s="9" t="s">
        <v>34</v>
      </c>
      <c r="F394" s="8" t="s">
        <v>36</v>
      </c>
      <c r="G394" s="8">
        <v>0</v>
      </c>
      <c r="H394" s="8" t="s">
        <v>60</v>
      </c>
      <c r="I394" s="8" t="s">
        <v>39</v>
      </c>
      <c r="J394" s="8" t="s">
        <v>26</v>
      </c>
      <c r="K394" s="8" t="s">
        <v>40</v>
      </c>
      <c r="L394" s="10">
        <v>36</v>
      </c>
      <c r="M394" s="17" t="s">
        <v>77</v>
      </c>
      <c r="N394" s="6">
        <v>2021</v>
      </c>
    </row>
    <row r="395" spans="1:14" x14ac:dyDescent="0.25">
      <c r="A395" s="6">
        <v>394</v>
      </c>
      <c r="B395" s="7">
        <v>44499</v>
      </c>
      <c r="C395" s="8" t="s">
        <v>61</v>
      </c>
      <c r="D395" s="8" t="s">
        <v>14</v>
      </c>
      <c r="E395" s="9" t="s">
        <v>47</v>
      </c>
      <c r="F395" s="8" t="s">
        <v>29</v>
      </c>
      <c r="G395" s="8">
        <v>0</v>
      </c>
      <c r="H395" s="8" t="s">
        <v>60</v>
      </c>
      <c r="I395" s="8" t="s">
        <v>18</v>
      </c>
      <c r="J395" s="8" t="s">
        <v>26</v>
      </c>
      <c r="K395" s="8" t="s">
        <v>52</v>
      </c>
      <c r="L395" s="10">
        <v>0</v>
      </c>
      <c r="M395" s="17" t="s">
        <v>77</v>
      </c>
      <c r="N395" s="6">
        <v>2021</v>
      </c>
    </row>
    <row r="396" spans="1:14" x14ac:dyDescent="0.25">
      <c r="A396" s="6">
        <v>395</v>
      </c>
      <c r="B396" s="7">
        <v>44502</v>
      </c>
      <c r="C396" s="8" t="s">
        <v>64</v>
      </c>
      <c r="D396" s="8" t="s">
        <v>14</v>
      </c>
      <c r="E396" s="9" t="s">
        <v>34</v>
      </c>
      <c r="F396" s="8" t="s">
        <v>29</v>
      </c>
      <c r="G396" s="8">
        <v>0</v>
      </c>
      <c r="H396" s="8" t="s">
        <v>49</v>
      </c>
      <c r="I396" s="8" t="s">
        <v>18</v>
      </c>
      <c r="J396" s="8" t="s">
        <v>26</v>
      </c>
      <c r="K396" s="8" t="s">
        <v>52</v>
      </c>
      <c r="L396" s="10">
        <v>0</v>
      </c>
      <c r="M396" s="17" t="s">
        <v>78</v>
      </c>
      <c r="N396" s="6">
        <v>2021</v>
      </c>
    </row>
    <row r="397" spans="1:14" x14ac:dyDescent="0.25">
      <c r="A397" s="6">
        <v>396</v>
      </c>
      <c r="B397" s="7">
        <v>44506</v>
      </c>
      <c r="C397" s="8" t="s">
        <v>41</v>
      </c>
      <c r="D397" s="8" t="s">
        <v>14</v>
      </c>
      <c r="E397" s="9" t="s">
        <v>34</v>
      </c>
      <c r="F397" s="8" t="s">
        <v>29</v>
      </c>
      <c r="G397" s="8">
        <v>0</v>
      </c>
      <c r="H397" s="8" t="s">
        <v>45</v>
      </c>
      <c r="I397" s="8" t="s">
        <v>53</v>
      </c>
      <c r="J397" s="8" t="s">
        <v>46</v>
      </c>
      <c r="K397" s="8" t="s">
        <v>52</v>
      </c>
      <c r="L397" s="10">
        <v>1585</v>
      </c>
      <c r="M397" s="17" t="s">
        <v>78</v>
      </c>
      <c r="N397" s="6">
        <v>2021</v>
      </c>
    </row>
    <row r="398" spans="1:14" x14ac:dyDescent="0.25">
      <c r="A398" s="6">
        <v>397</v>
      </c>
      <c r="B398" s="7">
        <v>44509</v>
      </c>
      <c r="C398" s="8" t="s">
        <v>58</v>
      </c>
      <c r="D398" s="8" t="s">
        <v>14</v>
      </c>
      <c r="E398" s="9" t="s">
        <v>47</v>
      </c>
      <c r="F398" s="8" t="s">
        <v>63</v>
      </c>
      <c r="G398" s="8">
        <v>3</v>
      </c>
      <c r="H398" s="8" t="s">
        <v>17</v>
      </c>
      <c r="I398" s="8" t="s">
        <v>25</v>
      </c>
      <c r="J398" s="8" t="s">
        <v>46</v>
      </c>
      <c r="K398" s="8" t="s">
        <v>59</v>
      </c>
      <c r="L398" s="10">
        <v>2015</v>
      </c>
      <c r="M398" s="17" t="s">
        <v>78</v>
      </c>
      <c r="N398" s="6">
        <v>2021</v>
      </c>
    </row>
    <row r="399" spans="1:14" x14ac:dyDescent="0.25">
      <c r="A399" s="6">
        <v>398</v>
      </c>
      <c r="B399" s="7">
        <v>44510</v>
      </c>
      <c r="C399" s="8" t="s">
        <v>44</v>
      </c>
      <c r="D399" s="8" t="s">
        <v>14</v>
      </c>
      <c r="E399" s="9" t="s">
        <v>15</v>
      </c>
      <c r="F399" s="8" t="s">
        <v>62</v>
      </c>
      <c r="G399" s="8">
        <v>4</v>
      </c>
      <c r="H399" s="8" t="s">
        <v>45</v>
      </c>
      <c r="I399" s="8" t="s">
        <v>25</v>
      </c>
      <c r="J399" s="8" t="s">
        <v>26</v>
      </c>
      <c r="K399" s="8" t="s">
        <v>31</v>
      </c>
      <c r="L399" s="10">
        <v>1793</v>
      </c>
      <c r="M399" s="17" t="s">
        <v>78</v>
      </c>
      <c r="N399" s="6">
        <v>2021</v>
      </c>
    </row>
    <row r="400" spans="1:14" x14ac:dyDescent="0.25">
      <c r="A400" s="6">
        <v>399</v>
      </c>
      <c r="B400" s="7">
        <v>44512</v>
      </c>
      <c r="C400" s="8" t="s">
        <v>61</v>
      </c>
      <c r="D400" s="8" t="s">
        <v>14</v>
      </c>
      <c r="E400" s="9" t="s">
        <v>22</v>
      </c>
      <c r="F400" s="8" t="s">
        <v>23</v>
      </c>
      <c r="G400" s="8">
        <v>2.5</v>
      </c>
      <c r="H400" s="8" t="s">
        <v>60</v>
      </c>
      <c r="I400" s="8" t="s">
        <v>25</v>
      </c>
      <c r="J400" s="8" t="s">
        <v>19</v>
      </c>
      <c r="K400" s="8" t="s">
        <v>59</v>
      </c>
      <c r="L400" s="10">
        <v>807</v>
      </c>
      <c r="M400" s="17" t="s">
        <v>78</v>
      </c>
      <c r="N400" s="6">
        <v>2021</v>
      </c>
    </row>
    <row r="401" spans="1:14" x14ac:dyDescent="0.25">
      <c r="A401" s="6">
        <v>400</v>
      </c>
      <c r="B401" s="7">
        <v>44514</v>
      </c>
      <c r="C401" s="8" t="s">
        <v>58</v>
      </c>
      <c r="D401" s="8" t="s">
        <v>33</v>
      </c>
      <c r="E401" s="9" t="s">
        <v>47</v>
      </c>
      <c r="F401" s="8" t="s">
        <v>29</v>
      </c>
      <c r="G401" s="8">
        <v>0.5</v>
      </c>
      <c r="H401" s="8" t="s">
        <v>45</v>
      </c>
      <c r="I401" s="8" t="s">
        <v>25</v>
      </c>
      <c r="J401" s="8" t="s">
        <v>19</v>
      </c>
      <c r="K401" s="8" t="s">
        <v>20</v>
      </c>
      <c r="L401" s="10">
        <v>920</v>
      </c>
      <c r="M401" s="17" t="s">
        <v>78</v>
      </c>
      <c r="N401" s="6">
        <v>2021</v>
      </c>
    </row>
    <row r="402" spans="1:14" x14ac:dyDescent="0.25">
      <c r="A402" s="6">
        <v>401</v>
      </c>
      <c r="B402" s="7">
        <v>44515</v>
      </c>
      <c r="C402" s="8" t="s">
        <v>56</v>
      </c>
      <c r="D402" s="8" t="s">
        <v>14</v>
      </c>
      <c r="E402" s="9" t="s">
        <v>15</v>
      </c>
      <c r="F402" s="8" t="s">
        <v>63</v>
      </c>
      <c r="G402" s="8">
        <v>0</v>
      </c>
      <c r="H402" s="8" t="s">
        <v>49</v>
      </c>
      <c r="I402" s="8" t="s">
        <v>39</v>
      </c>
      <c r="J402" s="8" t="s">
        <v>26</v>
      </c>
      <c r="K402" s="8" t="s">
        <v>50</v>
      </c>
      <c r="L402" s="10">
        <v>37</v>
      </c>
      <c r="M402" s="17" t="s">
        <v>78</v>
      </c>
      <c r="N402" s="6">
        <v>2021</v>
      </c>
    </row>
    <row r="403" spans="1:14" x14ac:dyDescent="0.25">
      <c r="A403" s="6">
        <v>402</v>
      </c>
      <c r="B403" s="7">
        <v>44515</v>
      </c>
      <c r="C403" s="8" t="s">
        <v>51</v>
      </c>
      <c r="D403" s="8" t="s">
        <v>14</v>
      </c>
      <c r="E403" s="9" t="s">
        <v>34</v>
      </c>
      <c r="F403" s="8" t="s">
        <v>63</v>
      </c>
      <c r="G403" s="8">
        <v>0</v>
      </c>
      <c r="H403" s="8" t="s">
        <v>30</v>
      </c>
      <c r="I403" s="8" t="s">
        <v>53</v>
      </c>
      <c r="J403" s="8" t="s">
        <v>46</v>
      </c>
      <c r="K403" s="8" t="s">
        <v>20</v>
      </c>
      <c r="L403" s="10">
        <v>4791</v>
      </c>
      <c r="M403" s="17" t="s">
        <v>78</v>
      </c>
      <c r="N403" s="6">
        <v>2021</v>
      </c>
    </row>
    <row r="404" spans="1:14" x14ac:dyDescent="0.25">
      <c r="A404" s="6">
        <v>403</v>
      </c>
      <c r="B404" s="7">
        <v>44516</v>
      </c>
      <c r="C404" s="8" t="s">
        <v>58</v>
      </c>
      <c r="D404" s="8" t="s">
        <v>14</v>
      </c>
      <c r="E404" s="9" t="s">
        <v>34</v>
      </c>
      <c r="F404" s="8" t="s">
        <v>38</v>
      </c>
      <c r="G404" s="8">
        <v>0</v>
      </c>
      <c r="H404" s="8" t="s">
        <v>17</v>
      </c>
      <c r="I404" s="8" t="s">
        <v>53</v>
      </c>
      <c r="J404" s="8" t="s">
        <v>26</v>
      </c>
      <c r="K404" s="8" t="s">
        <v>59</v>
      </c>
      <c r="L404" s="10">
        <v>2124</v>
      </c>
      <c r="M404" s="17" t="s">
        <v>78</v>
      </c>
      <c r="N404" s="6">
        <v>2021</v>
      </c>
    </row>
    <row r="405" spans="1:14" x14ac:dyDescent="0.25">
      <c r="A405" s="6">
        <v>404</v>
      </c>
      <c r="B405" s="7">
        <v>44517</v>
      </c>
      <c r="C405" s="8" t="s">
        <v>56</v>
      </c>
      <c r="D405" s="8" t="s">
        <v>33</v>
      </c>
      <c r="E405" s="9" t="s">
        <v>15</v>
      </c>
      <c r="F405" s="8" t="s">
        <v>48</v>
      </c>
      <c r="G405" s="8">
        <v>0</v>
      </c>
      <c r="H405" s="8" t="s">
        <v>37</v>
      </c>
      <c r="I405" s="8" t="s">
        <v>18</v>
      </c>
      <c r="J405" s="8" t="s">
        <v>19</v>
      </c>
      <c r="K405" s="8" t="s">
        <v>43</v>
      </c>
      <c r="L405" s="10">
        <v>0</v>
      </c>
      <c r="M405" s="17" t="s">
        <v>78</v>
      </c>
      <c r="N405" s="6">
        <v>2021</v>
      </c>
    </row>
    <row r="406" spans="1:14" x14ac:dyDescent="0.25">
      <c r="A406" s="6">
        <v>405</v>
      </c>
      <c r="B406" s="7">
        <v>44521</v>
      </c>
      <c r="C406" s="8" t="s">
        <v>44</v>
      </c>
      <c r="D406" s="8" t="s">
        <v>14</v>
      </c>
      <c r="E406" s="9" t="s">
        <v>47</v>
      </c>
      <c r="F406" s="8" t="s">
        <v>63</v>
      </c>
      <c r="G406" s="8">
        <v>0</v>
      </c>
      <c r="H406" s="8" t="s">
        <v>24</v>
      </c>
      <c r="I406" s="8" t="s">
        <v>53</v>
      </c>
      <c r="J406" s="8" t="s">
        <v>26</v>
      </c>
      <c r="K406" s="8" t="s">
        <v>27</v>
      </c>
      <c r="L406" s="10">
        <v>1636</v>
      </c>
      <c r="M406" s="17" t="s">
        <v>78</v>
      </c>
      <c r="N406" s="6">
        <v>2021</v>
      </c>
    </row>
    <row r="407" spans="1:14" x14ac:dyDescent="0.25">
      <c r="A407" s="6">
        <v>406</v>
      </c>
      <c r="B407" s="7">
        <v>44522</v>
      </c>
      <c r="C407" s="8" t="s">
        <v>21</v>
      </c>
      <c r="D407" s="8" t="s">
        <v>14</v>
      </c>
      <c r="E407" s="9" t="s">
        <v>47</v>
      </c>
      <c r="F407" s="8" t="s">
        <v>23</v>
      </c>
      <c r="G407" s="8">
        <v>0</v>
      </c>
      <c r="H407" s="8" t="s">
        <v>30</v>
      </c>
      <c r="I407" s="8" t="s">
        <v>53</v>
      </c>
      <c r="J407" s="8" t="s">
        <v>46</v>
      </c>
      <c r="K407" s="8" t="s">
        <v>50</v>
      </c>
      <c r="L407" s="10">
        <v>4069</v>
      </c>
      <c r="M407" s="17" t="s">
        <v>78</v>
      </c>
      <c r="N407" s="6">
        <v>2021</v>
      </c>
    </row>
    <row r="408" spans="1:14" x14ac:dyDescent="0.25">
      <c r="A408" s="6">
        <v>407</v>
      </c>
      <c r="B408" s="7">
        <v>44523</v>
      </c>
      <c r="C408" s="8" t="s">
        <v>65</v>
      </c>
      <c r="D408" s="8" t="s">
        <v>14</v>
      </c>
      <c r="E408" s="9" t="s">
        <v>34</v>
      </c>
      <c r="F408" s="8" t="s">
        <v>36</v>
      </c>
      <c r="G408" s="8">
        <v>0</v>
      </c>
      <c r="H408" s="8" t="s">
        <v>37</v>
      </c>
      <c r="I408" s="8" t="s">
        <v>39</v>
      </c>
      <c r="J408" s="8" t="s">
        <v>19</v>
      </c>
      <c r="K408" s="8" t="s">
        <v>52</v>
      </c>
      <c r="L408" s="10">
        <v>493</v>
      </c>
      <c r="M408" s="17" t="s">
        <v>78</v>
      </c>
      <c r="N408" s="6">
        <v>2021</v>
      </c>
    </row>
    <row r="409" spans="1:14" x14ac:dyDescent="0.25">
      <c r="A409" s="6">
        <v>408</v>
      </c>
      <c r="B409" s="7">
        <v>44524</v>
      </c>
      <c r="C409" s="8" t="s">
        <v>13</v>
      </c>
      <c r="D409" s="8" t="s">
        <v>14</v>
      </c>
      <c r="E409" s="9" t="s">
        <v>47</v>
      </c>
      <c r="F409" s="8" t="s">
        <v>35</v>
      </c>
      <c r="G409" s="8">
        <v>0</v>
      </c>
      <c r="H409" s="8" t="s">
        <v>24</v>
      </c>
      <c r="I409" s="8" t="s">
        <v>53</v>
      </c>
      <c r="J409" s="8" t="s">
        <v>46</v>
      </c>
      <c r="K409" s="8" t="s">
        <v>54</v>
      </c>
      <c r="L409" s="10">
        <v>1493</v>
      </c>
      <c r="M409" s="17" t="s">
        <v>78</v>
      </c>
      <c r="N409" s="6">
        <v>2021</v>
      </c>
    </row>
    <row r="410" spans="1:14" x14ac:dyDescent="0.25">
      <c r="A410" s="6">
        <v>409</v>
      </c>
      <c r="B410" s="7">
        <v>44526</v>
      </c>
      <c r="C410" s="8" t="s">
        <v>58</v>
      </c>
      <c r="D410" s="8" t="s">
        <v>14</v>
      </c>
      <c r="E410" s="9" t="s">
        <v>22</v>
      </c>
      <c r="F410" s="8" t="s">
        <v>29</v>
      </c>
      <c r="G410" s="8">
        <v>0</v>
      </c>
      <c r="H410" s="8" t="s">
        <v>37</v>
      </c>
      <c r="I410" s="8" t="s">
        <v>18</v>
      </c>
      <c r="J410" s="8" t="s">
        <v>46</v>
      </c>
      <c r="K410" s="8" t="s">
        <v>52</v>
      </c>
      <c r="L410" s="10">
        <v>0</v>
      </c>
      <c r="M410" s="17" t="s">
        <v>78</v>
      </c>
      <c r="N410" s="6">
        <v>2021</v>
      </c>
    </row>
    <row r="411" spans="1:14" x14ac:dyDescent="0.25">
      <c r="A411" s="6">
        <v>410</v>
      </c>
      <c r="B411" s="7">
        <v>44528</v>
      </c>
      <c r="C411" s="8" t="s">
        <v>28</v>
      </c>
      <c r="D411" s="8" t="s">
        <v>33</v>
      </c>
      <c r="E411" s="9" t="s">
        <v>47</v>
      </c>
      <c r="F411" s="8" t="s">
        <v>48</v>
      </c>
      <c r="G411" s="8">
        <v>0</v>
      </c>
      <c r="H411" s="8" t="s">
        <v>24</v>
      </c>
      <c r="I411" s="8" t="s">
        <v>39</v>
      </c>
      <c r="J411" s="8" t="s">
        <v>26</v>
      </c>
      <c r="K411" s="8" t="s">
        <v>31</v>
      </c>
      <c r="L411" s="10">
        <v>449</v>
      </c>
      <c r="M411" s="17" t="s">
        <v>78</v>
      </c>
      <c r="N411" s="6">
        <v>2021</v>
      </c>
    </row>
    <row r="412" spans="1:14" x14ac:dyDescent="0.25">
      <c r="A412" s="6">
        <v>411</v>
      </c>
      <c r="B412" s="7">
        <v>44530</v>
      </c>
      <c r="C412" s="8" t="s">
        <v>13</v>
      </c>
      <c r="D412" s="8" t="s">
        <v>14</v>
      </c>
      <c r="E412" s="9" t="s">
        <v>15</v>
      </c>
      <c r="F412" s="8" t="s">
        <v>63</v>
      </c>
      <c r="G412" s="8">
        <v>1.5</v>
      </c>
      <c r="H412" s="8" t="s">
        <v>49</v>
      </c>
      <c r="I412" s="8" t="s">
        <v>25</v>
      </c>
      <c r="J412" s="8" t="s">
        <v>46</v>
      </c>
      <c r="K412" s="8" t="s">
        <v>31</v>
      </c>
      <c r="L412" s="10">
        <v>4871</v>
      </c>
      <c r="M412" s="17" t="s">
        <v>78</v>
      </c>
      <c r="N412" s="6">
        <v>2021</v>
      </c>
    </row>
    <row r="413" spans="1:14" x14ac:dyDescent="0.25">
      <c r="A413" s="6">
        <v>412</v>
      </c>
      <c r="B413" s="7">
        <v>44533</v>
      </c>
      <c r="C413" s="8" t="s">
        <v>44</v>
      </c>
      <c r="D413" s="8" t="s">
        <v>33</v>
      </c>
      <c r="E413" s="9" t="s">
        <v>47</v>
      </c>
      <c r="F413" s="8" t="s">
        <v>36</v>
      </c>
      <c r="G413" s="8">
        <v>0</v>
      </c>
      <c r="H413" s="8" t="s">
        <v>49</v>
      </c>
      <c r="I413" s="8" t="s">
        <v>18</v>
      </c>
      <c r="J413" s="8" t="s">
        <v>26</v>
      </c>
      <c r="K413" s="8" t="s">
        <v>43</v>
      </c>
      <c r="L413" s="10">
        <v>0</v>
      </c>
      <c r="M413" s="17" t="s">
        <v>79</v>
      </c>
      <c r="N413" s="6">
        <v>2021</v>
      </c>
    </row>
    <row r="414" spans="1:14" x14ac:dyDescent="0.25">
      <c r="A414" s="6">
        <v>413</v>
      </c>
      <c r="B414" s="7">
        <v>44534</v>
      </c>
      <c r="C414" s="8" t="s">
        <v>51</v>
      </c>
      <c r="D414" s="8" t="s">
        <v>14</v>
      </c>
      <c r="E414" s="9" t="s">
        <v>15</v>
      </c>
      <c r="F414" s="8" t="s">
        <v>48</v>
      </c>
      <c r="G414" s="8">
        <v>0</v>
      </c>
      <c r="H414" s="8" t="s">
        <v>57</v>
      </c>
      <c r="I414" s="8" t="s">
        <v>18</v>
      </c>
      <c r="J414" s="8" t="s">
        <v>46</v>
      </c>
      <c r="K414" s="8" t="s">
        <v>59</v>
      </c>
      <c r="L414" s="10">
        <v>0</v>
      </c>
      <c r="M414" s="17" t="s">
        <v>79</v>
      </c>
      <c r="N414" s="6">
        <v>2021</v>
      </c>
    </row>
    <row r="415" spans="1:14" x14ac:dyDescent="0.25">
      <c r="A415" s="6">
        <v>414</v>
      </c>
      <c r="B415" s="7">
        <v>44536</v>
      </c>
      <c r="C415" s="8" t="s">
        <v>61</v>
      </c>
      <c r="D415" s="8" t="s">
        <v>14</v>
      </c>
      <c r="E415" s="9" t="s">
        <v>47</v>
      </c>
      <c r="F415" s="8" t="s">
        <v>36</v>
      </c>
      <c r="G415" s="8">
        <v>0</v>
      </c>
      <c r="H415" s="8" t="s">
        <v>45</v>
      </c>
      <c r="I415" s="8" t="s">
        <v>53</v>
      </c>
      <c r="J415" s="8" t="s">
        <v>46</v>
      </c>
      <c r="K415" s="8" t="s">
        <v>43</v>
      </c>
      <c r="L415" s="10">
        <v>4021</v>
      </c>
      <c r="M415" s="17" t="s">
        <v>79</v>
      </c>
      <c r="N415" s="6">
        <v>2021</v>
      </c>
    </row>
    <row r="416" spans="1:14" x14ac:dyDescent="0.25">
      <c r="A416" s="6">
        <v>415</v>
      </c>
      <c r="B416" s="7">
        <v>44536</v>
      </c>
      <c r="C416" s="8" t="s">
        <v>64</v>
      </c>
      <c r="D416" s="8" t="s">
        <v>14</v>
      </c>
      <c r="E416" s="9" t="s">
        <v>15</v>
      </c>
      <c r="F416" s="8" t="s">
        <v>48</v>
      </c>
      <c r="G416" s="8">
        <v>4.5</v>
      </c>
      <c r="H416" s="8" t="s">
        <v>30</v>
      </c>
      <c r="I416" s="8" t="s">
        <v>25</v>
      </c>
      <c r="J416" s="8" t="s">
        <v>46</v>
      </c>
      <c r="K416" s="8" t="s">
        <v>59</v>
      </c>
      <c r="L416" s="10">
        <v>4399</v>
      </c>
      <c r="M416" s="17" t="s">
        <v>79</v>
      </c>
      <c r="N416" s="6">
        <v>2021</v>
      </c>
    </row>
    <row r="417" spans="1:14" x14ac:dyDescent="0.25">
      <c r="A417" s="6">
        <v>416</v>
      </c>
      <c r="B417" s="7">
        <v>44538</v>
      </c>
      <c r="C417" s="8" t="s">
        <v>58</v>
      </c>
      <c r="D417" s="8" t="s">
        <v>14</v>
      </c>
      <c r="E417" s="9" t="s">
        <v>15</v>
      </c>
      <c r="F417" s="8" t="s">
        <v>23</v>
      </c>
      <c r="G417" s="8">
        <v>0</v>
      </c>
      <c r="H417" s="8" t="s">
        <v>55</v>
      </c>
      <c r="I417" s="8" t="s">
        <v>39</v>
      </c>
      <c r="J417" s="8" t="s">
        <v>19</v>
      </c>
      <c r="K417" s="8" t="s">
        <v>20</v>
      </c>
      <c r="L417" s="10">
        <v>324</v>
      </c>
      <c r="M417" s="17" t="s">
        <v>79</v>
      </c>
      <c r="N417" s="6">
        <v>2021</v>
      </c>
    </row>
    <row r="418" spans="1:14" x14ac:dyDescent="0.25">
      <c r="A418" s="6">
        <v>417</v>
      </c>
      <c r="B418" s="7">
        <v>44547</v>
      </c>
      <c r="C418" s="8" t="s">
        <v>44</v>
      </c>
      <c r="D418" s="8" t="s">
        <v>14</v>
      </c>
      <c r="E418" s="9" t="s">
        <v>34</v>
      </c>
      <c r="F418" s="8" t="s">
        <v>29</v>
      </c>
      <c r="G418" s="8">
        <v>0</v>
      </c>
      <c r="H418" s="8" t="s">
        <v>24</v>
      </c>
      <c r="I418" s="8" t="s">
        <v>39</v>
      </c>
      <c r="J418" s="8" t="s">
        <v>26</v>
      </c>
      <c r="K418" s="8" t="s">
        <v>54</v>
      </c>
      <c r="L418" s="10">
        <v>125</v>
      </c>
      <c r="M418" s="17" t="s">
        <v>79</v>
      </c>
      <c r="N418" s="6">
        <v>2021</v>
      </c>
    </row>
    <row r="419" spans="1:14" x14ac:dyDescent="0.25">
      <c r="A419" s="6">
        <v>418</v>
      </c>
      <c r="B419" s="7">
        <v>44550</v>
      </c>
      <c r="C419" s="8" t="s">
        <v>56</v>
      </c>
      <c r="D419" s="8" t="s">
        <v>14</v>
      </c>
      <c r="E419" s="9" t="s">
        <v>22</v>
      </c>
      <c r="F419" s="8" t="s">
        <v>36</v>
      </c>
      <c r="G419" s="8">
        <v>0</v>
      </c>
      <c r="H419" s="8" t="s">
        <v>17</v>
      </c>
      <c r="I419" s="8" t="s">
        <v>53</v>
      </c>
      <c r="J419" s="8" t="s">
        <v>26</v>
      </c>
      <c r="K419" s="8" t="s">
        <v>43</v>
      </c>
      <c r="L419" s="10">
        <v>2351</v>
      </c>
      <c r="M419" s="17" t="s">
        <v>79</v>
      </c>
      <c r="N419" s="6">
        <v>2021</v>
      </c>
    </row>
    <row r="420" spans="1:14" x14ac:dyDescent="0.25">
      <c r="A420" s="6">
        <v>419</v>
      </c>
      <c r="B420" s="7">
        <v>44552</v>
      </c>
      <c r="C420" s="8" t="s">
        <v>32</v>
      </c>
      <c r="D420" s="8" t="s">
        <v>14</v>
      </c>
      <c r="E420" s="9" t="s">
        <v>47</v>
      </c>
      <c r="F420" s="8" t="s">
        <v>36</v>
      </c>
      <c r="G420" s="8">
        <v>0</v>
      </c>
      <c r="H420" s="8" t="s">
        <v>49</v>
      </c>
      <c r="I420" s="8" t="s">
        <v>18</v>
      </c>
      <c r="J420" s="8" t="s">
        <v>26</v>
      </c>
      <c r="K420" s="8" t="s">
        <v>31</v>
      </c>
      <c r="L420" s="10">
        <v>0</v>
      </c>
      <c r="M420" s="17" t="s">
        <v>79</v>
      </c>
      <c r="N420" s="6">
        <v>2021</v>
      </c>
    </row>
    <row r="421" spans="1:14" x14ac:dyDescent="0.25">
      <c r="A421" s="6">
        <v>420</v>
      </c>
      <c r="B421" s="7">
        <v>44553</v>
      </c>
      <c r="C421" s="8" t="s">
        <v>61</v>
      </c>
      <c r="D421" s="8" t="s">
        <v>14</v>
      </c>
      <c r="E421" s="9" t="s">
        <v>42</v>
      </c>
      <c r="F421" s="8" t="s">
        <v>62</v>
      </c>
      <c r="G421" s="8">
        <v>0</v>
      </c>
      <c r="H421" s="8" t="s">
        <v>45</v>
      </c>
      <c r="I421" s="8" t="s">
        <v>53</v>
      </c>
      <c r="J421" s="8" t="s">
        <v>26</v>
      </c>
      <c r="K421" s="8" t="s">
        <v>50</v>
      </c>
      <c r="L421" s="10">
        <v>2699</v>
      </c>
      <c r="M421" s="17" t="s">
        <v>79</v>
      </c>
      <c r="N421" s="6">
        <v>2021</v>
      </c>
    </row>
    <row r="422" spans="1:14" x14ac:dyDescent="0.25">
      <c r="A422" s="6">
        <v>421</v>
      </c>
      <c r="B422" s="7">
        <v>44558</v>
      </c>
      <c r="C422" s="8" t="s">
        <v>61</v>
      </c>
      <c r="D422" s="8" t="s">
        <v>14</v>
      </c>
      <c r="E422" s="9" t="s">
        <v>47</v>
      </c>
      <c r="F422" s="8" t="s">
        <v>62</v>
      </c>
      <c r="G422" s="8">
        <v>0</v>
      </c>
      <c r="H422" s="8" t="s">
        <v>24</v>
      </c>
      <c r="I422" s="8" t="s">
        <v>39</v>
      </c>
      <c r="J422" s="8" t="s">
        <v>46</v>
      </c>
      <c r="K422" s="8" t="s">
        <v>20</v>
      </c>
      <c r="L422" s="10">
        <v>422</v>
      </c>
      <c r="M422" s="17" t="s">
        <v>79</v>
      </c>
      <c r="N422" s="6">
        <v>2021</v>
      </c>
    </row>
    <row r="423" spans="1:14" x14ac:dyDescent="0.25">
      <c r="A423" s="6">
        <v>422</v>
      </c>
      <c r="B423" s="7">
        <v>44559</v>
      </c>
      <c r="C423" s="8" t="s">
        <v>21</v>
      </c>
      <c r="D423" s="8" t="s">
        <v>14</v>
      </c>
      <c r="E423" s="9" t="s">
        <v>22</v>
      </c>
      <c r="F423" s="8" t="s">
        <v>29</v>
      </c>
      <c r="G423" s="8">
        <v>0</v>
      </c>
      <c r="H423" s="8" t="s">
        <v>60</v>
      </c>
      <c r="I423" s="8" t="s">
        <v>18</v>
      </c>
      <c r="J423" s="8" t="s">
        <v>46</v>
      </c>
      <c r="K423" s="8" t="s">
        <v>54</v>
      </c>
      <c r="L423" s="10">
        <v>0</v>
      </c>
      <c r="M423" s="17" t="s">
        <v>79</v>
      </c>
      <c r="N423" s="6">
        <v>2021</v>
      </c>
    </row>
    <row r="424" spans="1:14" x14ac:dyDescent="0.25">
      <c r="A424" s="6">
        <v>423</v>
      </c>
      <c r="B424" s="7">
        <v>44563</v>
      </c>
      <c r="C424" s="8" t="s">
        <v>13</v>
      </c>
      <c r="D424" s="8" t="s">
        <v>14</v>
      </c>
      <c r="E424" s="9" t="s">
        <v>47</v>
      </c>
      <c r="F424" s="8" t="s">
        <v>62</v>
      </c>
      <c r="G424" s="8">
        <v>1</v>
      </c>
      <c r="H424" s="8" t="s">
        <v>49</v>
      </c>
      <c r="I424" s="8" t="s">
        <v>25</v>
      </c>
      <c r="J424" s="8" t="s">
        <v>19</v>
      </c>
      <c r="K424" s="8" t="s">
        <v>50</v>
      </c>
      <c r="L424" s="10">
        <v>3582</v>
      </c>
      <c r="M424" s="17" t="s">
        <v>68</v>
      </c>
      <c r="N424" s="6">
        <v>2022</v>
      </c>
    </row>
    <row r="425" spans="1:14" x14ac:dyDescent="0.25">
      <c r="A425" s="6">
        <v>424</v>
      </c>
      <c r="B425" s="7">
        <v>44564</v>
      </c>
      <c r="C425" s="8" t="s">
        <v>61</v>
      </c>
      <c r="D425" s="8" t="s">
        <v>14</v>
      </c>
      <c r="E425" s="9" t="s">
        <v>42</v>
      </c>
      <c r="F425" s="8" t="s">
        <v>48</v>
      </c>
      <c r="G425" s="8">
        <v>0</v>
      </c>
      <c r="H425" s="8" t="s">
        <v>45</v>
      </c>
      <c r="I425" s="8" t="s">
        <v>18</v>
      </c>
      <c r="J425" s="8" t="s">
        <v>46</v>
      </c>
      <c r="K425" s="8" t="s">
        <v>40</v>
      </c>
      <c r="L425" s="10">
        <v>0</v>
      </c>
      <c r="M425" s="17" t="s">
        <v>68</v>
      </c>
      <c r="N425" s="6">
        <v>2022</v>
      </c>
    </row>
    <row r="426" spans="1:14" x14ac:dyDescent="0.25">
      <c r="A426" s="6">
        <v>425</v>
      </c>
      <c r="B426" s="7">
        <v>44565</v>
      </c>
      <c r="C426" s="8" t="s">
        <v>58</v>
      </c>
      <c r="D426" s="8" t="s">
        <v>14</v>
      </c>
      <c r="E426" s="9" t="s">
        <v>34</v>
      </c>
      <c r="F426" s="8" t="s">
        <v>63</v>
      </c>
      <c r="G426" s="8">
        <v>0</v>
      </c>
      <c r="H426" s="8" t="s">
        <v>17</v>
      </c>
      <c r="I426" s="8" t="s">
        <v>18</v>
      </c>
      <c r="J426" s="8" t="s">
        <v>19</v>
      </c>
      <c r="K426" s="8" t="s">
        <v>20</v>
      </c>
      <c r="L426" s="10">
        <v>0</v>
      </c>
      <c r="M426" s="17" t="s">
        <v>68</v>
      </c>
      <c r="N426" s="6">
        <v>2022</v>
      </c>
    </row>
    <row r="427" spans="1:14" x14ac:dyDescent="0.25">
      <c r="A427" s="6">
        <v>426</v>
      </c>
      <c r="B427" s="7">
        <v>44565</v>
      </c>
      <c r="C427" s="8" t="s">
        <v>21</v>
      </c>
      <c r="D427" s="8" t="s">
        <v>14</v>
      </c>
      <c r="E427" s="9" t="s">
        <v>22</v>
      </c>
      <c r="F427" s="8" t="s">
        <v>38</v>
      </c>
      <c r="G427" s="8">
        <v>1.5</v>
      </c>
      <c r="H427" s="8" t="s">
        <v>17</v>
      </c>
      <c r="I427" s="8" t="s">
        <v>25</v>
      </c>
      <c r="J427" s="8" t="s">
        <v>46</v>
      </c>
      <c r="K427" s="8" t="s">
        <v>27</v>
      </c>
      <c r="L427" s="10">
        <v>2459</v>
      </c>
      <c r="M427" s="17" t="s">
        <v>68</v>
      </c>
      <c r="N427" s="6">
        <v>2022</v>
      </c>
    </row>
    <row r="428" spans="1:14" x14ac:dyDescent="0.25">
      <c r="A428" s="6">
        <v>427</v>
      </c>
      <c r="B428" s="7">
        <v>44569</v>
      </c>
      <c r="C428" s="8" t="s">
        <v>21</v>
      </c>
      <c r="D428" s="8" t="s">
        <v>14</v>
      </c>
      <c r="E428" s="9" t="s">
        <v>34</v>
      </c>
      <c r="F428" s="8" t="s">
        <v>29</v>
      </c>
      <c r="G428" s="8">
        <v>0</v>
      </c>
      <c r="H428" s="8" t="s">
        <v>55</v>
      </c>
      <c r="I428" s="8" t="s">
        <v>39</v>
      </c>
      <c r="J428" s="8" t="s">
        <v>26</v>
      </c>
      <c r="K428" s="8" t="s">
        <v>43</v>
      </c>
      <c r="L428" s="10">
        <v>60</v>
      </c>
      <c r="M428" s="17" t="s">
        <v>68</v>
      </c>
      <c r="N428" s="6">
        <v>2022</v>
      </c>
    </row>
    <row r="429" spans="1:14" x14ac:dyDescent="0.25">
      <c r="A429" s="6">
        <v>428</v>
      </c>
      <c r="B429" s="7">
        <v>44570</v>
      </c>
      <c r="C429" s="8" t="s">
        <v>56</v>
      </c>
      <c r="D429" s="8" t="s">
        <v>33</v>
      </c>
      <c r="E429" s="9" t="s">
        <v>22</v>
      </c>
      <c r="F429" s="8" t="s">
        <v>36</v>
      </c>
      <c r="G429" s="8">
        <v>4</v>
      </c>
      <c r="H429" s="8" t="s">
        <v>24</v>
      </c>
      <c r="I429" s="8" t="s">
        <v>25</v>
      </c>
      <c r="J429" s="8" t="s">
        <v>46</v>
      </c>
      <c r="K429" s="8" t="s">
        <v>40</v>
      </c>
      <c r="L429" s="10">
        <v>736</v>
      </c>
      <c r="M429" s="17" t="s">
        <v>68</v>
      </c>
      <c r="N429" s="6">
        <v>2022</v>
      </c>
    </row>
    <row r="430" spans="1:14" x14ac:dyDescent="0.25">
      <c r="A430" s="6">
        <v>429</v>
      </c>
      <c r="B430" s="7">
        <v>44573</v>
      </c>
      <c r="C430" s="8" t="s">
        <v>58</v>
      </c>
      <c r="D430" s="8" t="s">
        <v>14</v>
      </c>
      <c r="E430" s="9" t="s">
        <v>22</v>
      </c>
      <c r="F430" s="8" t="s">
        <v>62</v>
      </c>
      <c r="G430" s="8">
        <v>0</v>
      </c>
      <c r="H430" s="8" t="s">
        <v>55</v>
      </c>
      <c r="I430" s="8" t="s">
        <v>18</v>
      </c>
      <c r="J430" s="8" t="s">
        <v>26</v>
      </c>
      <c r="K430" s="8" t="s">
        <v>20</v>
      </c>
      <c r="L430" s="10">
        <v>0</v>
      </c>
      <c r="M430" s="17" t="s">
        <v>68</v>
      </c>
      <c r="N430" s="6">
        <v>2022</v>
      </c>
    </row>
    <row r="431" spans="1:14" x14ac:dyDescent="0.25">
      <c r="A431" s="6">
        <v>430</v>
      </c>
      <c r="B431" s="7">
        <v>44575</v>
      </c>
      <c r="C431" s="8" t="s">
        <v>21</v>
      </c>
      <c r="D431" s="8" t="s">
        <v>14</v>
      </c>
      <c r="E431" s="9" t="s">
        <v>34</v>
      </c>
      <c r="F431" s="8" t="s">
        <v>16</v>
      </c>
      <c r="G431" s="8">
        <v>0</v>
      </c>
      <c r="H431" s="8" t="s">
        <v>60</v>
      </c>
      <c r="I431" s="8" t="s">
        <v>18</v>
      </c>
      <c r="J431" s="8" t="s">
        <v>46</v>
      </c>
      <c r="K431" s="8" t="s">
        <v>52</v>
      </c>
      <c r="L431" s="10">
        <v>0</v>
      </c>
      <c r="M431" s="17" t="s">
        <v>68</v>
      </c>
      <c r="N431" s="6">
        <v>2022</v>
      </c>
    </row>
    <row r="432" spans="1:14" x14ac:dyDescent="0.25">
      <c r="A432" s="6">
        <v>431</v>
      </c>
      <c r="B432" s="7">
        <v>44576</v>
      </c>
      <c r="C432" s="8" t="s">
        <v>44</v>
      </c>
      <c r="D432" s="8" t="s">
        <v>14</v>
      </c>
      <c r="E432" s="9" t="s">
        <v>34</v>
      </c>
      <c r="F432" s="8" t="s">
        <v>29</v>
      </c>
      <c r="G432" s="8">
        <v>0</v>
      </c>
      <c r="H432" s="8" t="s">
        <v>24</v>
      </c>
      <c r="I432" s="8" t="s">
        <v>53</v>
      </c>
      <c r="J432" s="8" t="s">
        <v>26</v>
      </c>
      <c r="K432" s="8" t="s">
        <v>40</v>
      </c>
      <c r="L432" s="10">
        <v>1045</v>
      </c>
      <c r="M432" s="17" t="s">
        <v>68</v>
      </c>
      <c r="N432" s="6">
        <v>2022</v>
      </c>
    </row>
    <row r="433" spans="1:14" x14ac:dyDescent="0.25">
      <c r="A433" s="6">
        <v>432</v>
      </c>
      <c r="B433" s="7">
        <v>44577</v>
      </c>
      <c r="C433" s="8" t="s">
        <v>44</v>
      </c>
      <c r="D433" s="8" t="s">
        <v>14</v>
      </c>
      <c r="E433" s="9" t="s">
        <v>15</v>
      </c>
      <c r="F433" s="8" t="s">
        <v>63</v>
      </c>
      <c r="G433" s="8">
        <v>0</v>
      </c>
      <c r="H433" s="8" t="s">
        <v>60</v>
      </c>
      <c r="I433" s="8" t="s">
        <v>39</v>
      </c>
      <c r="J433" s="8" t="s">
        <v>26</v>
      </c>
      <c r="K433" s="8" t="s">
        <v>50</v>
      </c>
      <c r="L433" s="10">
        <v>83</v>
      </c>
      <c r="M433" s="17" t="s">
        <v>68</v>
      </c>
      <c r="N433" s="6">
        <v>2022</v>
      </c>
    </row>
    <row r="434" spans="1:14" x14ac:dyDescent="0.25">
      <c r="A434" s="6">
        <v>433</v>
      </c>
      <c r="B434" s="7">
        <v>44577</v>
      </c>
      <c r="C434" s="8" t="s">
        <v>41</v>
      </c>
      <c r="D434" s="8" t="s">
        <v>14</v>
      </c>
      <c r="E434" s="9" t="s">
        <v>47</v>
      </c>
      <c r="F434" s="8" t="s">
        <v>63</v>
      </c>
      <c r="G434" s="8">
        <v>0</v>
      </c>
      <c r="H434" s="8" t="s">
        <v>57</v>
      </c>
      <c r="I434" s="8" t="s">
        <v>18</v>
      </c>
      <c r="J434" s="8" t="s">
        <v>46</v>
      </c>
      <c r="K434" s="8" t="s">
        <v>43</v>
      </c>
      <c r="L434" s="10">
        <v>0</v>
      </c>
      <c r="M434" s="17" t="s">
        <v>68</v>
      </c>
      <c r="N434" s="6">
        <v>2022</v>
      </c>
    </row>
    <row r="435" spans="1:14" x14ac:dyDescent="0.25">
      <c r="A435" s="6">
        <v>434</v>
      </c>
      <c r="B435" s="7">
        <v>44580</v>
      </c>
      <c r="C435" s="8" t="s">
        <v>56</v>
      </c>
      <c r="D435" s="8" t="s">
        <v>14</v>
      </c>
      <c r="E435" s="9" t="s">
        <v>15</v>
      </c>
      <c r="F435" s="8" t="s">
        <v>16</v>
      </c>
      <c r="G435" s="8">
        <v>1.5</v>
      </c>
      <c r="H435" s="8" t="s">
        <v>24</v>
      </c>
      <c r="I435" s="8" t="s">
        <v>25</v>
      </c>
      <c r="J435" s="8" t="s">
        <v>26</v>
      </c>
      <c r="K435" s="8" t="s">
        <v>40</v>
      </c>
      <c r="L435" s="10">
        <v>998</v>
      </c>
      <c r="M435" s="17" t="s">
        <v>68</v>
      </c>
      <c r="N435" s="6">
        <v>2022</v>
      </c>
    </row>
    <row r="436" spans="1:14" x14ac:dyDescent="0.25">
      <c r="A436" s="6">
        <v>435</v>
      </c>
      <c r="B436" s="7">
        <v>44580</v>
      </c>
      <c r="C436" s="8" t="s">
        <v>56</v>
      </c>
      <c r="D436" s="8" t="s">
        <v>14</v>
      </c>
      <c r="E436" s="9" t="s">
        <v>22</v>
      </c>
      <c r="F436" s="8" t="s">
        <v>16</v>
      </c>
      <c r="G436" s="8">
        <v>1</v>
      </c>
      <c r="H436" s="8" t="s">
        <v>49</v>
      </c>
      <c r="I436" s="8" t="s">
        <v>25</v>
      </c>
      <c r="J436" s="8" t="s">
        <v>26</v>
      </c>
      <c r="K436" s="8" t="s">
        <v>20</v>
      </c>
      <c r="L436" s="10">
        <v>2170</v>
      </c>
      <c r="M436" s="17" t="s">
        <v>68</v>
      </c>
      <c r="N436" s="6">
        <v>2022</v>
      </c>
    </row>
    <row r="437" spans="1:14" x14ac:dyDescent="0.25">
      <c r="A437" s="6">
        <v>436</v>
      </c>
      <c r="B437" s="7">
        <v>44581</v>
      </c>
      <c r="C437" s="8" t="s">
        <v>13</v>
      </c>
      <c r="D437" s="8" t="s">
        <v>14</v>
      </c>
      <c r="E437" s="9" t="s">
        <v>42</v>
      </c>
      <c r="F437" s="8" t="s">
        <v>62</v>
      </c>
      <c r="G437" s="8">
        <v>0</v>
      </c>
      <c r="H437" s="8" t="s">
        <v>17</v>
      </c>
      <c r="I437" s="8" t="s">
        <v>39</v>
      </c>
      <c r="J437" s="8" t="s">
        <v>46</v>
      </c>
      <c r="K437" s="8" t="s">
        <v>31</v>
      </c>
      <c r="L437" s="10">
        <v>385</v>
      </c>
      <c r="M437" s="17" t="s">
        <v>68</v>
      </c>
      <c r="N437" s="6">
        <v>2022</v>
      </c>
    </row>
    <row r="438" spans="1:14" x14ac:dyDescent="0.25">
      <c r="A438" s="6">
        <v>437</v>
      </c>
      <c r="B438" s="7">
        <v>44582</v>
      </c>
      <c r="C438" s="8" t="s">
        <v>28</v>
      </c>
      <c r="D438" s="8" t="s">
        <v>14</v>
      </c>
      <c r="E438" s="9" t="s">
        <v>22</v>
      </c>
      <c r="F438" s="8" t="s">
        <v>16</v>
      </c>
      <c r="G438" s="8">
        <v>0</v>
      </c>
      <c r="H438" s="8" t="s">
        <v>24</v>
      </c>
      <c r="I438" s="8" t="s">
        <v>53</v>
      </c>
      <c r="J438" s="8" t="s">
        <v>19</v>
      </c>
      <c r="K438" s="8" t="s">
        <v>43</v>
      </c>
      <c r="L438" s="10">
        <v>1277</v>
      </c>
      <c r="M438" s="17" t="s">
        <v>68</v>
      </c>
      <c r="N438" s="6">
        <v>2022</v>
      </c>
    </row>
    <row r="439" spans="1:14" x14ac:dyDescent="0.25">
      <c r="A439" s="6">
        <v>438</v>
      </c>
      <c r="B439" s="7">
        <v>44583</v>
      </c>
      <c r="C439" s="8" t="s">
        <v>61</v>
      </c>
      <c r="D439" s="8" t="s">
        <v>14</v>
      </c>
      <c r="E439" s="9" t="s">
        <v>34</v>
      </c>
      <c r="F439" s="8" t="s">
        <v>48</v>
      </c>
      <c r="G439" s="8">
        <v>0</v>
      </c>
      <c r="H439" s="8" t="s">
        <v>30</v>
      </c>
      <c r="I439" s="8" t="s">
        <v>39</v>
      </c>
      <c r="J439" s="8" t="s">
        <v>19</v>
      </c>
      <c r="K439" s="8" t="s">
        <v>43</v>
      </c>
      <c r="L439" s="10">
        <v>350</v>
      </c>
      <c r="M439" s="17" t="s">
        <v>68</v>
      </c>
      <c r="N439" s="6">
        <v>2022</v>
      </c>
    </row>
    <row r="440" spans="1:14" x14ac:dyDescent="0.25">
      <c r="A440" s="6">
        <v>439</v>
      </c>
      <c r="B440" s="7">
        <v>44588</v>
      </c>
      <c r="C440" s="8" t="s">
        <v>58</v>
      </c>
      <c r="D440" s="8" t="s">
        <v>14</v>
      </c>
      <c r="E440" s="9" t="s">
        <v>47</v>
      </c>
      <c r="F440" s="8" t="s">
        <v>35</v>
      </c>
      <c r="G440" s="8">
        <v>0</v>
      </c>
      <c r="H440" s="8" t="s">
        <v>37</v>
      </c>
      <c r="I440" s="8" t="s">
        <v>53</v>
      </c>
      <c r="J440" s="8" t="s">
        <v>46</v>
      </c>
      <c r="K440" s="8" t="s">
        <v>31</v>
      </c>
      <c r="L440" s="10">
        <v>2321</v>
      </c>
      <c r="M440" s="17" t="s">
        <v>68</v>
      </c>
      <c r="N440" s="6">
        <v>2022</v>
      </c>
    </row>
    <row r="441" spans="1:14" x14ac:dyDescent="0.25">
      <c r="A441" s="6">
        <v>440</v>
      </c>
      <c r="B441" s="7">
        <v>44589</v>
      </c>
      <c r="C441" s="8" t="s">
        <v>32</v>
      </c>
      <c r="D441" s="8" t="s">
        <v>14</v>
      </c>
      <c r="E441" s="9" t="s">
        <v>34</v>
      </c>
      <c r="F441" s="8" t="s">
        <v>23</v>
      </c>
      <c r="G441" s="8">
        <v>0</v>
      </c>
      <c r="H441" s="8" t="s">
        <v>49</v>
      </c>
      <c r="I441" s="8" t="s">
        <v>18</v>
      </c>
      <c r="J441" s="8" t="s">
        <v>26</v>
      </c>
      <c r="K441" s="8" t="s">
        <v>54</v>
      </c>
      <c r="L441" s="10">
        <v>0</v>
      </c>
      <c r="M441" s="17" t="s">
        <v>68</v>
      </c>
      <c r="N441" s="6">
        <v>2022</v>
      </c>
    </row>
    <row r="442" spans="1:14" x14ac:dyDescent="0.25">
      <c r="A442" s="6">
        <v>441</v>
      </c>
      <c r="B442" s="7">
        <v>44589</v>
      </c>
      <c r="C442" s="8" t="s">
        <v>32</v>
      </c>
      <c r="D442" s="8" t="s">
        <v>14</v>
      </c>
      <c r="E442" s="9" t="s">
        <v>34</v>
      </c>
      <c r="F442" s="8" t="s">
        <v>36</v>
      </c>
      <c r="G442" s="8">
        <v>2.5</v>
      </c>
      <c r="H442" s="8" t="s">
        <v>49</v>
      </c>
      <c r="I442" s="8" t="s">
        <v>25</v>
      </c>
      <c r="J442" s="8" t="s">
        <v>19</v>
      </c>
      <c r="K442" s="8" t="s">
        <v>59</v>
      </c>
      <c r="L442" s="10">
        <v>4947</v>
      </c>
      <c r="M442" s="17" t="s">
        <v>68</v>
      </c>
      <c r="N442" s="6">
        <v>2022</v>
      </c>
    </row>
    <row r="443" spans="1:14" x14ac:dyDescent="0.25">
      <c r="A443" s="6">
        <v>442</v>
      </c>
      <c r="B443" s="7">
        <v>44591</v>
      </c>
      <c r="C443" s="8" t="s">
        <v>28</v>
      </c>
      <c r="D443" s="8" t="s">
        <v>33</v>
      </c>
      <c r="E443" s="9" t="s">
        <v>15</v>
      </c>
      <c r="F443" s="8" t="s">
        <v>62</v>
      </c>
      <c r="G443" s="8">
        <v>5</v>
      </c>
      <c r="H443" s="8" t="s">
        <v>37</v>
      </c>
      <c r="I443" s="8" t="s">
        <v>25</v>
      </c>
      <c r="J443" s="8" t="s">
        <v>26</v>
      </c>
      <c r="K443" s="8" t="s">
        <v>52</v>
      </c>
      <c r="L443" s="10">
        <v>1919</v>
      </c>
      <c r="M443" s="17" t="s">
        <v>68</v>
      </c>
      <c r="N443" s="6">
        <v>2022</v>
      </c>
    </row>
    <row r="444" spans="1:14" x14ac:dyDescent="0.25">
      <c r="A444" s="6">
        <v>443</v>
      </c>
      <c r="B444" s="7">
        <v>44594</v>
      </c>
      <c r="C444" s="8" t="s">
        <v>13</v>
      </c>
      <c r="D444" s="8" t="s">
        <v>14</v>
      </c>
      <c r="E444" s="9" t="s">
        <v>34</v>
      </c>
      <c r="F444" s="8" t="s">
        <v>35</v>
      </c>
      <c r="G444" s="8">
        <v>0</v>
      </c>
      <c r="H444" s="8" t="s">
        <v>55</v>
      </c>
      <c r="I444" s="8" t="s">
        <v>18</v>
      </c>
      <c r="J444" s="8" t="s">
        <v>19</v>
      </c>
      <c r="K444" s="8" t="s">
        <v>27</v>
      </c>
      <c r="L444" s="10">
        <v>0</v>
      </c>
      <c r="M444" s="17" t="s">
        <v>69</v>
      </c>
      <c r="N444" s="6">
        <v>2022</v>
      </c>
    </row>
    <row r="445" spans="1:14" x14ac:dyDescent="0.25">
      <c r="A445" s="6">
        <v>444</v>
      </c>
      <c r="B445" s="7">
        <v>44594</v>
      </c>
      <c r="C445" s="8" t="s">
        <v>21</v>
      </c>
      <c r="D445" s="8" t="s">
        <v>14</v>
      </c>
      <c r="E445" s="9" t="s">
        <v>15</v>
      </c>
      <c r="F445" s="8" t="s">
        <v>35</v>
      </c>
      <c r="G445" s="8">
        <v>1.5</v>
      </c>
      <c r="H445" s="8" t="s">
        <v>24</v>
      </c>
      <c r="I445" s="8" t="s">
        <v>25</v>
      </c>
      <c r="J445" s="8" t="s">
        <v>46</v>
      </c>
      <c r="K445" s="8" t="s">
        <v>40</v>
      </c>
      <c r="L445" s="10">
        <v>2381</v>
      </c>
      <c r="M445" s="17" t="s">
        <v>69</v>
      </c>
      <c r="N445" s="6">
        <v>2022</v>
      </c>
    </row>
    <row r="446" spans="1:14" x14ac:dyDescent="0.25">
      <c r="A446" s="6">
        <v>445</v>
      </c>
      <c r="B446" s="7">
        <v>44598</v>
      </c>
      <c r="C446" s="8" t="s">
        <v>13</v>
      </c>
      <c r="D446" s="8" t="s">
        <v>14</v>
      </c>
      <c r="E446" s="9" t="s">
        <v>22</v>
      </c>
      <c r="F446" s="8" t="s">
        <v>23</v>
      </c>
      <c r="G446" s="8">
        <v>0</v>
      </c>
      <c r="H446" s="8" t="s">
        <v>30</v>
      </c>
      <c r="I446" s="8" t="s">
        <v>53</v>
      </c>
      <c r="J446" s="8" t="s">
        <v>19</v>
      </c>
      <c r="K446" s="8" t="s">
        <v>40</v>
      </c>
      <c r="L446" s="10">
        <v>534</v>
      </c>
      <c r="M446" s="17" t="s">
        <v>69</v>
      </c>
      <c r="N446" s="6">
        <v>2022</v>
      </c>
    </row>
    <row r="447" spans="1:14" x14ac:dyDescent="0.25">
      <c r="A447" s="6">
        <v>446</v>
      </c>
      <c r="B447" s="7">
        <v>44599</v>
      </c>
      <c r="C447" s="8" t="s">
        <v>64</v>
      </c>
      <c r="D447" s="8" t="s">
        <v>14</v>
      </c>
      <c r="E447" s="9" t="s">
        <v>47</v>
      </c>
      <c r="F447" s="8" t="s">
        <v>23</v>
      </c>
      <c r="G447" s="8">
        <v>0</v>
      </c>
      <c r="H447" s="8" t="s">
        <v>30</v>
      </c>
      <c r="I447" s="8" t="s">
        <v>39</v>
      </c>
      <c r="J447" s="8" t="s">
        <v>26</v>
      </c>
      <c r="K447" s="8" t="s">
        <v>52</v>
      </c>
      <c r="L447" s="10">
        <v>461</v>
      </c>
      <c r="M447" s="17" t="s">
        <v>69</v>
      </c>
      <c r="N447" s="6">
        <v>2022</v>
      </c>
    </row>
    <row r="448" spans="1:14" x14ac:dyDescent="0.25">
      <c r="A448" s="6">
        <v>447</v>
      </c>
      <c r="B448" s="7">
        <v>44600</v>
      </c>
      <c r="C448" s="8" t="s">
        <v>61</v>
      </c>
      <c r="D448" s="8" t="s">
        <v>14</v>
      </c>
      <c r="E448" s="9" t="s">
        <v>34</v>
      </c>
      <c r="F448" s="8" t="s">
        <v>38</v>
      </c>
      <c r="G448" s="8">
        <v>0</v>
      </c>
      <c r="H448" s="8" t="s">
        <v>30</v>
      </c>
      <c r="I448" s="8" t="s">
        <v>18</v>
      </c>
      <c r="J448" s="8" t="s">
        <v>46</v>
      </c>
      <c r="K448" s="8" t="s">
        <v>40</v>
      </c>
      <c r="L448" s="10">
        <v>0</v>
      </c>
      <c r="M448" s="17" t="s">
        <v>69</v>
      </c>
      <c r="N448" s="6">
        <v>2022</v>
      </c>
    </row>
    <row r="449" spans="1:14" x14ac:dyDescent="0.25">
      <c r="A449" s="6">
        <v>448</v>
      </c>
      <c r="B449" s="7">
        <v>44600</v>
      </c>
      <c r="C449" s="8" t="s">
        <v>56</v>
      </c>
      <c r="D449" s="8" t="s">
        <v>14</v>
      </c>
      <c r="E449" s="9" t="s">
        <v>15</v>
      </c>
      <c r="F449" s="8" t="s">
        <v>29</v>
      </c>
      <c r="G449" s="8">
        <v>4</v>
      </c>
      <c r="H449" s="8" t="s">
        <v>30</v>
      </c>
      <c r="I449" s="8" t="s">
        <v>25</v>
      </c>
      <c r="J449" s="8" t="s">
        <v>46</v>
      </c>
      <c r="K449" s="8" t="s">
        <v>27</v>
      </c>
      <c r="L449" s="10">
        <v>1392</v>
      </c>
      <c r="M449" s="17" t="s">
        <v>69</v>
      </c>
      <c r="N449" s="6">
        <v>2022</v>
      </c>
    </row>
    <row r="450" spans="1:14" x14ac:dyDescent="0.25">
      <c r="A450" s="6">
        <v>449</v>
      </c>
      <c r="B450" s="7">
        <v>44601</v>
      </c>
      <c r="C450" s="8" t="s">
        <v>44</v>
      </c>
      <c r="D450" s="8" t="s">
        <v>14</v>
      </c>
      <c r="E450" s="9" t="s">
        <v>22</v>
      </c>
      <c r="F450" s="8" t="s">
        <v>29</v>
      </c>
      <c r="G450" s="8">
        <v>4</v>
      </c>
      <c r="H450" s="8" t="s">
        <v>55</v>
      </c>
      <c r="I450" s="8" t="s">
        <v>25</v>
      </c>
      <c r="J450" s="8" t="s">
        <v>46</v>
      </c>
      <c r="K450" s="8" t="s">
        <v>54</v>
      </c>
      <c r="L450" s="10">
        <v>540</v>
      </c>
      <c r="M450" s="17" t="s">
        <v>69</v>
      </c>
      <c r="N450" s="6">
        <v>2022</v>
      </c>
    </row>
    <row r="451" spans="1:14" x14ac:dyDescent="0.25">
      <c r="A451" s="6">
        <v>450</v>
      </c>
      <c r="B451" s="7">
        <v>44601</v>
      </c>
      <c r="C451" s="8" t="s">
        <v>21</v>
      </c>
      <c r="D451" s="8" t="s">
        <v>14</v>
      </c>
      <c r="E451" s="9" t="s">
        <v>34</v>
      </c>
      <c r="F451" s="8" t="s">
        <v>48</v>
      </c>
      <c r="G451" s="8">
        <v>0</v>
      </c>
      <c r="H451" s="8" t="s">
        <v>60</v>
      </c>
      <c r="I451" s="8" t="s">
        <v>39</v>
      </c>
      <c r="J451" s="8" t="s">
        <v>46</v>
      </c>
      <c r="K451" s="8" t="s">
        <v>40</v>
      </c>
      <c r="L451" s="10">
        <v>41</v>
      </c>
      <c r="M451" s="17" t="s">
        <v>69</v>
      </c>
      <c r="N451" s="6">
        <v>2022</v>
      </c>
    </row>
    <row r="452" spans="1:14" x14ac:dyDescent="0.25">
      <c r="A452" s="6">
        <v>451</v>
      </c>
      <c r="B452" s="7">
        <v>44602</v>
      </c>
      <c r="C452" s="8" t="s">
        <v>13</v>
      </c>
      <c r="D452" s="8" t="s">
        <v>14</v>
      </c>
      <c r="E452" s="9" t="s">
        <v>15</v>
      </c>
      <c r="F452" s="8" t="s">
        <v>36</v>
      </c>
      <c r="G452" s="8">
        <v>0</v>
      </c>
      <c r="H452" s="8" t="s">
        <v>17</v>
      </c>
      <c r="I452" s="8" t="s">
        <v>53</v>
      </c>
      <c r="J452" s="8" t="s">
        <v>19</v>
      </c>
      <c r="K452" s="8" t="s">
        <v>31</v>
      </c>
      <c r="L452" s="10">
        <v>719</v>
      </c>
      <c r="M452" s="17" t="s">
        <v>69</v>
      </c>
      <c r="N452" s="6">
        <v>2022</v>
      </c>
    </row>
    <row r="453" spans="1:14" x14ac:dyDescent="0.25">
      <c r="A453" s="6">
        <v>452</v>
      </c>
      <c r="B453" s="7">
        <v>44603</v>
      </c>
      <c r="C453" s="8" t="s">
        <v>58</v>
      </c>
      <c r="D453" s="8" t="s">
        <v>14</v>
      </c>
      <c r="E453" s="9" t="s">
        <v>15</v>
      </c>
      <c r="F453" s="8" t="s">
        <v>23</v>
      </c>
      <c r="G453" s="8">
        <v>0</v>
      </c>
      <c r="H453" s="8" t="s">
        <v>30</v>
      </c>
      <c r="I453" s="8" t="s">
        <v>18</v>
      </c>
      <c r="J453" s="8" t="s">
        <v>46</v>
      </c>
      <c r="K453" s="8" t="s">
        <v>40</v>
      </c>
      <c r="L453" s="10">
        <v>0</v>
      </c>
      <c r="M453" s="17" t="s">
        <v>69</v>
      </c>
      <c r="N453" s="6">
        <v>2022</v>
      </c>
    </row>
    <row r="454" spans="1:14" x14ac:dyDescent="0.25">
      <c r="A454" s="6">
        <v>453</v>
      </c>
      <c r="B454" s="7">
        <v>44606</v>
      </c>
      <c r="C454" s="8" t="s">
        <v>13</v>
      </c>
      <c r="D454" s="8" t="s">
        <v>14</v>
      </c>
      <c r="E454" s="9" t="s">
        <v>34</v>
      </c>
      <c r="F454" s="8" t="s">
        <v>36</v>
      </c>
      <c r="G454" s="8">
        <v>0</v>
      </c>
      <c r="H454" s="8" t="s">
        <v>55</v>
      </c>
      <c r="I454" s="8" t="s">
        <v>39</v>
      </c>
      <c r="J454" s="8" t="s">
        <v>46</v>
      </c>
      <c r="K454" s="8" t="s">
        <v>27</v>
      </c>
      <c r="L454" s="10">
        <v>330</v>
      </c>
      <c r="M454" s="17" t="s">
        <v>69</v>
      </c>
      <c r="N454" s="6">
        <v>2022</v>
      </c>
    </row>
    <row r="455" spans="1:14" x14ac:dyDescent="0.25">
      <c r="A455" s="6">
        <v>454</v>
      </c>
      <c r="B455" s="7">
        <v>44606</v>
      </c>
      <c r="C455" s="8" t="s">
        <v>13</v>
      </c>
      <c r="D455" s="8" t="s">
        <v>14</v>
      </c>
      <c r="E455" s="9" t="s">
        <v>15</v>
      </c>
      <c r="F455" s="8" t="s">
        <v>35</v>
      </c>
      <c r="G455" s="8">
        <v>4.5</v>
      </c>
      <c r="H455" s="8" t="s">
        <v>57</v>
      </c>
      <c r="I455" s="8" t="s">
        <v>25</v>
      </c>
      <c r="J455" s="8" t="s">
        <v>19</v>
      </c>
      <c r="K455" s="8" t="s">
        <v>20</v>
      </c>
      <c r="L455" s="10">
        <v>855</v>
      </c>
      <c r="M455" s="17" t="s">
        <v>69</v>
      </c>
      <c r="N455" s="6">
        <v>2022</v>
      </c>
    </row>
    <row r="456" spans="1:14" x14ac:dyDescent="0.25">
      <c r="A456" s="6">
        <v>455</v>
      </c>
      <c r="B456" s="7">
        <v>44607</v>
      </c>
      <c r="C456" s="8" t="s">
        <v>65</v>
      </c>
      <c r="D456" s="8" t="s">
        <v>14</v>
      </c>
      <c r="E456" s="9" t="s">
        <v>47</v>
      </c>
      <c r="F456" s="8" t="s">
        <v>63</v>
      </c>
      <c r="G456" s="8">
        <v>3.5</v>
      </c>
      <c r="H456" s="8" t="s">
        <v>17</v>
      </c>
      <c r="I456" s="8" t="s">
        <v>25</v>
      </c>
      <c r="J456" s="8" t="s">
        <v>46</v>
      </c>
      <c r="K456" s="8" t="s">
        <v>20</v>
      </c>
      <c r="L456" s="10">
        <v>3824</v>
      </c>
      <c r="M456" s="17" t="s">
        <v>69</v>
      </c>
      <c r="N456" s="6">
        <v>2022</v>
      </c>
    </row>
    <row r="457" spans="1:14" x14ac:dyDescent="0.25">
      <c r="A457" s="6">
        <v>456</v>
      </c>
      <c r="B457" s="7">
        <v>44614</v>
      </c>
      <c r="C457" s="8" t="s">
        <v>13</v>
      </c>
      <c r="D457" s="8" t="s">
        <v>14</v>
      </c>
      <c r="E457" s="9" t="s">
        <v>47</v>
      </c>
      <c r="F457" s="8" t="s">
        <v>23</v>
      </c>
      <c r="G457" s="8">
        <v>0</v>
      </c>
      <c r="H457" s="8" t="s">
        <v>24</v>
      </c>
      <c r="I457" s="8" t="s">
        <v>53</v>
      </c>
      <c r="J457" s="8" t="s">
        <v>46</v>
      </c>
      <c r="K457" s="8" t="s">
        <v>52</v>
      </c>
      <c r="L457" s="10">
        <v>3419</v>
      </c>
      <c r="M457" s="17" t="s">
        <v>69</v>
      </c>
      <c r="N457" s="6">
        <v>2022</v>
      </c>
    </row>
    <row r="458" spans="1:14" x14ac:dyDescent="0.25">
      <c r="A458" s="6">
        <v>457</v>
      </c>
      <c r="B458" s="7">
        <v>44615</v>
      </c>
      <c r="C458" s="8" t="s">
        <v>28</v>
      </c>
      <c r="D458" s="8" t="s">
        <v>33</v>
      </c>
      <c r="E458" s="9" t="s">
        <v>47</v>
      </c>
      <c r="F458" s="8" t="s">
        <v>38</v>
      </c>
      <c r="G458" s="8">
        <v>4</v>
      </c>
      <c r="H458" s="8" t="s">
        <v>17</v>
      </c>
      <c r="I458" s="8" t="s">
        <v>25</v>
      </c>
      <c r="J458" s="8" t="s">
        <v>19</v>
      </c>
      <c r="K458" s="8" t="s">
        <v>43</v>
      </c>
      <c r="L458" s="10">
        <v>1594</v>
      </c>
      <c r="M458" s="17" t="s">
        <v>69</v>
      </c>
      <c r="N458" s="6">
        <v>2022</v>
      </c>
    </row>
    <row r="459" spans="1:14" x14ac:dyDescent="0.25">
      <c r="A459" s="6">
        <v>458</v>
      </c>
      <c r="B459" s="7">
        <v>44616</v>
      </c>
      <c r="C459" s="8" t="s">
        <v>51</v>
      </c>
      <c r="D459" s="8" t="s">
        <v>14</v>
      </c>
      <c r="E459" s="9" t="s">
        <v>47</v>
      </c>
      <c r="F459" s="8" t="s">
        <v>48</v>
      </c>
      <c r="G459" s="8">
        <v>4.5</v>
      </c>
      <c r="H459" s="8" t="s">
        <v>45</v>
      </c>
      <c r="I459" s="8" t="s">
        <v>25</v>
      </c>
      <c r="J459" s="8" t="s">
        <v>46</v>
      </c>
      <c r="K459" s="8" t="s">
        <v>59</v>
      </c>
      <c r="L459" s="10">
        <v>585</v>
      </c>
      <c r="M459" s="17" t="s">
        <v>69</v>
      </c>
      <c r="N459" s="6">
        <v>2022</v>
      </c>
    </row>
    <row r="460" spans="1:14" x14ac:dyDescent="0.25">
      <c r="A460" s="6">
        <v>459</v>
      </c>
      <c r="B460" s="7">
        <v>44616</v>
      </c>
      <c r="C460" s="8" t="s">
        <v>56</v>
      </c>
      <c r="D460" s="8" t="s">
        <v>14</v>
      </c>
      <c r="E460" s="9" t="s">
        <v>34</v>
      </c>
      <c r="F460" s="8" t="s">
        <v>16</v>
      </c>
      <c r="G460" s="8">
        <v>0</v>
      </c>
      <c r="H460" s="8" t="s">
        <v>55</v>
      </c>
      <c r="I460" s="8" t="s">
        <v>18</v>
      </c>
      <c r="J460" s="8" t="s">
        <v>46</v>
      </c>
      <c r="K460" s="8" t="s">
        <v>31</v>
      </c>
      <c r="L460" s="10">
        <v>0</v>
      </c>
      <c r="M460" s="17" t="s">
        <v>69</v>
      </c>
      <c r="N460" s="6">
        <v>2022</v>
      </c>
    </row>
    <row r="461" spans="1:14" x14ac:dyDescent="0.25">
      <c r="A461" s="6">
        <v>460</v>
      </c>
      <c r="B461" s="7">
        <v>44618</v>
      </c>
      <c r="C461" s="8" t="s">
        <v>13</v>
      </c>
      <c r="D461" s="8" t="s">
        <v>33</v>
      </c>
      <c r="E461" s="9" t="s">
        <v>15</v>
      </c>
      <c r="F461" s="8" t="s">
        <v>29</v>
      </c>
      <c r="G461" s="8">
        <v>0</v>
      </c>
      <c r="H461" s="8" t="s">
        <v>37</v>
      </c>
      <c r="I461" s="8" t="s">
        <v>53</v>
      </c>
      <c r="J461" s="8" t="s">
        <v>46</v>
      </c>
      <c r="K461" s="8" t="s">
        <v>43</v>
      </c>
      <c r="L461" s="10">
        <v>2793</v>
      </c>
      <c r="M461" s="17" t="s">
        <v>69</v>
      </c>
      <c r="N461" s="6">
        <v>2022</v>
      </c>
    </row>
    <row r="462" spans="1:14" x14ac:dyDescent="0.25">
      <c r="A462" s="6">
        <v>461</v>
      </c>
      <c r="B462" s="7">
        <v>44619</v>
      </c>
      <c r="C462" s="8" t="s">
        <v>13</v>
      </c>
      <c r="D462" s="8" t="s">
        <v>14</v>
      </c>
      <c r="E462" s="9" t="s">
        <v>34</v>
      </c>
      <c r="F462" s="8" t="s">
        <v>36</v>
      </c>
      <c r="G462" s="8">
        <v>0</v>
      </c>
      <c r="H462" s="8" t="s">
        <v>60</v>
      </c>
      <c r="I462" s="8" t="s">
        <v>39</v>
      </c>
      <c r="J462" s="8" t="s">
        <v>46</v>
      </c>
      <c r="K462" s="8" t="s">
        <v>52</v>
      </c>
      <c r="L462" s="10">
        <v>326</v>
      </c>
      <c r="M462" s="17" t="s">
        <v>69</v>
      </c>
      <c r="N462" s="6">
        <v>2022</v>
      </c>
    </row>
    <row r="463" spans="1:14" x14ac:dyDescent="0.25">
      <c r="A463" s="6">
        <v>462</v>
      </c>
      <c r="B463" s="7">
        <v>44620</v>
      </c>
      <c r="C463" s="8" t="s">
        <v>61</v>
      </c>
      <c r="D463" s="8" t="s">
        <v>14</v>
      </c>
      <c r="E463" s="9" t="s">
        <v>47</v>
      </c>
      <c r="F463" s="8" t="s">
        <v>35</v>
      </c>
      <c r="G463" s="8">
        <v>0</v>
      </c>
      <c r="H463" s="8" t="s">
        <v>57</v>
      </c>
      <c r="I463" s="8" t="s">
        <v>39</v>
      </c>
      <c r="J463" s="8" t="s">
        <v>46</v>
      </c>
      <c r="K463" s="8" t="s">
        <v>40</v>
      </c>
      <c r="L463" s="10">
        <v>314</v>
      </c>
      <c r="M463" s="17" t="s">
        <v>69</v>
      </c>
      <c r="N463" s="6">
        <v>2022</v>
      </c>
    </row>
    <row r="464" spans="1:14" x14ac:dyDescent="0.25">
      <c r="A464" s="6">
        <v>463</v>
      </c>
      <c r="B464" s="7">
        <v>44623</v>
      </c>
      <c r="C464" s="8" t="s">
        <v>41</v>
      </c>
      <c r="D464" s="8" t="s">
        <v>14</v>
      </c>
      <c r="E464" s="9" t="s">
        <v>34</v>
      </c>
      <c r="F464" s="8" t="s">
        <v>23</v>
      </c>
      <c r="G464" s="8">
        <v>3.5</v>
      </c>
      <c r="H464" s="8" t="s">
        <v>55</v>
      </c>
      <c r="I464" s="8" t="s">
        <v>25</v>
      </c>
      <c r="J464" s="8" t="s">
        <v>19</v>
      </c>
      <c r="K464" s="8" t="s">
        <v>54</v>
      </c>
      <c r="L464" s="10">
        <v>1769</v>
      </c>
      <c r="M464" s="17" t="s">
        <v>70</v>
      </c>
      <c r="N464" s="6">
        <v>2022</v>
      </c>
    </row>
    <row r="465" spans="1:14" x14ac:dyDescent="0.25">
      <c r="A465" s="6">
        <v>464</v>
      </c>
      <c r="B465" s="7">
        <v>44632</v>
      </c>
      <c r="C465" s="8" t="s">
        <v>58</v>
      </c>
      <c r="D465" s="8" t="s">
        <v>14</v>
      </c>
      <c r="E465" s="9" t="s">
        <v>34</v>
      </c>
      <c r="F465" s="8" t="s">
        <v>23</v>
      </c>
      <c r="G465" s="8">
        <v>0</v>
      </c>
      <c r="H465" s="8" t="s">
        <v>60</v>
      </c>
      <c r="I465" s="8" t="s">
        <v>18</v>
      </c>
      <c r="J465" s="8" t="s">
        <v>19</v>
      </c>
      <c r="K465" s="8" t="s">
        <v>40</v>
      </c>
      <c r="L465" s="10">
        <v>0</v>
      </c>
      <c r="M465" s="17" t="s">
        <v>70</v>
      </c>
      <c r="N465" s="6">
        <v>2022</v>
      </c>
    </row>
    <row r="466" spans="1:14" x14ac:dyDescent="0.25">
      <c r="A466" s="6">
        <v>465</v>
      </c>
      <c r="B466" s="7">
        <v>44632</v>
      </c>
      <c r="C466" s="8" t="s">
        <v>44</v>
      </c>
      <c r="D466" s="8" t="s">
        <v>14</v>
      </c>
      <c r="E466" s="9" t="s">
        <v>22</v>
      </c>
      <c r="F466" s="8" t="s">
        <v>62</v>
      </c>
      <c r="G466" s="8">
        <v>4</v>
      </c>
      <c r="H466" s="8" t="s">
        <v>24</v>
      </c>
      <c r="I466" s="8" t="s">
        <v>25</v>
      </c>
      <c r="J466" s="8" t="s">
        <v>19</v>
      </c>
      <c r="K466" s="8" t="s">
        <v>52</v>
      </c>
      <c r="L466" s="10">
        <v>3498</v>
      </c>
      <c r="M466" s="17" t="s">
        <v>70</v>
      </c>
      <c r="N466" s="6">
        <v>2022</v>
      </c>
    </row>
    <row r="467" spans="1:14" x14ac:dyDescent="0.25">
      <c r="A467" s="6">
        <v>466</v>
      </c>
      <c r="B467" s="7">
        <v>44635</v>
      </c>
      <c r="C467" s="8" t="s">
        <v>32</v>
      </c>
      <c r="D467" s="8" t="s">
        <v>14</v>
      </c>
      <c r="E467" s="9" t="s">
        <v>47</v>
      </c>
      <c r="F467" s="8" t="s">
        <v>38</v>
      </c>
      <c r="G467" s="8">
        <v>1.5</v>
      </c>
      <c r="H467" s="8" t="s">
        <v>55</v>
      </c>
      <c r="I467" s="8" t="s">
        <v>25</v>
      </c>
      <c r="J467" s="8" t="s">
        <v>26</v>
      </c>
      <c r="K467" s="8" t="s">
        <v>50</v>
      </c>
      <c r="L467" s="10">
        <v>2336</v>
      </c>
      <c r="M467" s="17" t="s">
        <v>70</v>
      </c>
      <c r="N467" s="6">
        <v>2022</v>
      </c>
    </row>
    <row r="468" spans="1:14" x14ac:dyDescent="0.25">
      <c r="A468" s="6">
        <v>467</v>
      </c>
      <c r="B468" s="7">
        <v>44637</v>
      </c>
      <c r="C468" s="8" t="s">
        <v>56</v>
      </c>
      <c r="D468" s="8" t="s">
        <v>14</v>
      </c>
      <c r="E468" s="9" t="s">
        <v>34</v>
      </c>
      <c r="F468" s="8" t="s">
        <v>29</v>
      </c>
      <c r="G468" s="8">
        <v>0</v>
      </c>
      <c r="H468" s="8" t="s">
        <v>60</v>
      </c>
      <c r="I468" s="8" t="s">
        <v>39</v>
      </c>
      <c r="J468" s="8" t="s">
        <v>46</v>
      </c>
      <c r="K468" s="8" t="s">
        <v>20</v>
      </c>
      <c r="L468" s="10">
        <v>114</v>
      </c>
      <c r="M468" s="17" t="s">
        <v>70</v>
      </c>
      <c r="N468" s="6">
        <v>2022</v>
      </c>
    </row>
    <row r="469" spans="1:14" x14ac:dyDescent="0.25">
      <c r="A469" s="6">
        <v>468</v>
      </c>
      <c r="B469" s="7">
        <v>44642</v>
      </c>
      <c r="C469" s="8" t="s">
        <v>61</v>
      </c>
      <c r="D469" s="8" t="s">
        <v>14</v>
      </c>
      <c r="E469" s="9" t="s">
        <v>47</v>
      </c>
      <c r="F469" s="8" t="s">
        <v>29</v>
      </c>
      <c r="G469" s="8">
        <v>0</v>
      </c>
      <c r="H469" s="8" t="s">
        <v>24</v>
      </c>
      <c r="I469" s="8" t="s">
        <v>39</v>
      </c>
      <c r="J469" s="8" t="s">
        <v>19</v>
      </c>
      <c r="K469" s="8" t="s">
        <v>54</v>
      </c>
      <c r="L469" s="10">
        <v>174</v>
      </c>
      <c r="M469" s="17" t="s">
        <v>70</v>
      </c>
      <c r="N469" s="6">
        <v>2022</v>
      </c>
    </row>
    <row r="470" spans="1:14" x14ac:dyDescent="0.25">
      <c r="A470" s="6">
        <v>469</v>
      </c>
      <c r="B470" s="7">
        <v>44642</v>
      </c>
      <c r="C470" s="8" t="s">
        <v>61</v>
      </c>
      <c r="D470" s="8" t="s">
        <v>14</v>
      </c>
      <c r="E470" s="9" t="s">
        <v>15</v>
      </c>
      <c r="F470" s="8" t="s">
        <v>63</v>
      </c>
      <c r="G470" s="8">
        <v>0</v>
      </c>
      <c r="H470" s="8" t="s">
        <v>45</v>
      </c>
      <c r="I470" s="8" t="s">
        <v>53</v>
      </c>
      <c r="J470" s="8" t="s">
        <v>46</v>
      </c>
      <c r="K470" s="8" t="s">
        <v>54</v>
      </c>
      <c r="L470" s="10">
        <v>3379</v>
      </c>
      <c r="M470" s="17" t="s">
        <v>70</v>
      </c>
      <c r="N470" s="6">
        <v>2022</v>
      </c>
    </row>
    <row r="471" spans="1:14" x14ac:dyDescent="0.25">
      <c r="A471" s="6">
        <v>470</v>
      </c>
      <c r="B471" s="7">
        <v>44645</v>
      </c>
      <c r="C471" s="8" t="s">
        <v>21</v>
      </c>
      <c r="D471" s="8" t="s">
        <v>14</v>
      </c>
      <c r="E471" s="9" t="s">
        <v>22</v>
      </c>
      <c r="F471" s="8" t="s">
        <v>63</v>
      </c>
      <c r="G471" s="8">
        <v>0.5</v>
      </c>
      <c r="H471" s="8" t="s">
        <v>37</v>
      </c>
      <c r="I471" s="8" t="s">
        <v>25</v>
      </c>
      <c r="J471" s="8" t="s">
        <v>19</v>
      </c>
      <c r="K471" s="8" t="s">
        <v>50</v>
      </c>
      <c r="L471" s="10">
        <v>4145</v>
      </c>
      <c r="M471" s="17" t="s">
        <v>70</v>
      </c>
      <c r="N471" s="6">
        <v>2022</v>
      </c>
    </row>
    <row r="472" spans="1:14" x14ac:dyDescent="0.25">
      <c r="A472" s="6">
        <v>471</v>
      </c>
      <c r="B472" s="7">
        <v>44646</v>
      </c>
      <c r="C472" s="8" t="s">
        <v>28</v>
      </c>
      <c r="D472" s="8" t="s">
        <v>14</v>
      </c>
      <c r="E472" s="9" t="s">
        <v>15</v>
      </c>
      <c r="F472" s="8" t="s">
        <v>63</v>
      </c>
      <c r="G472" s="8">
        <v>0</v>
      </c>
      <c r="H472" s="8" t="s">
        <v>55</v>
      </c>
      <c r="I472" s="8" t="s">
        <v>53</v>
      </c>
      <c r="J472" s="8" t="s">
        <v>26</v>
      </c>
      <c r="K472" s="8" t="s">
        <v>52</v>
      </c>
      <c r="L472" s="10">
        <v>4150</v>
      </c>
      <c r="M472" s="17" t="s">
        <v>70</v>
      </c>
      <c r="N472" s="6">
        <v>2022</v>
      </c>
    </row>
    <row r="473" spans="1:14" x14ac:dyDescent="0.25">
      <c r="A473" s="6">
        <v>472</v>
      </c>
      <c r="B473" s="7">
        <v>44648</v>
      </c>
      <c r="C473" s="8" t="s">
        <v>28</v>
      </c>
      <c r="D473" s="8" t="s">
        <v>14</v>
      </c>
      <c r="E473" s="9" t="s">
        <v>34</v>
      </c>
      <c r="F473" s="8" t="s">
        <v>48</v>
      </c>
      <c r="G473" s="8">
        <v>0</v>
      </c>
      <c r="H473" s="8" t="s">
        <v>57</v>
      </c>
      <c r="I473" s="8" t="s">
        <v>39</v>
      </c>
      <c r="J473" s="8" t="s">
        <v>46</v>
      </c>
      <c r="K473" s="8" t="s">
        <v>27</v>
      </c>
      <c r="L473" s="10">
        <v>259</v>
      </c>
      <c r="M473" s="17" t="s">
        <v>70</v>
      </c>
      <c r="N473" s="6">
        <v>2022</v>
      </c>
    </row>
    <row r="474" spans="1:14" x14ac:dyDescent="0.25">
      <c r="A474" s="6">
        <v>473</v>
      </c>
      <c r="B474" s="7">
        <v>44652</v>
      </c>
      <c r="C474" s="8" t="s">
        <v>61</v>
      </c>
      <c r="D474" s="8" t="s">
        <v>14</v>
      </c>
      <c r="E474" s="9" t="s">
        <v>15</v>
      </c>
      <c r="F474" s="8" t="s">
        <v>48</v>
      </c>
      <c r="G474" s="8">
        <v>3.5</v>
      </c>
      <c r="H474" s="8" t="s">
        <v>17</v>
      </c>
      <c r="I474" s="8" t="s">
        <v>25</v>
      </c>
      <c r="J474" s="8" t="s">
        <v>26</v>
      </c>
      <c r="K474" s="8" t="s">
        <v>52</v>
      </c>
      <c r="L474" s="10">
        <v>3134</v>
      </c>
      <c r="M474" s="17" t="s">
        <v>71</v>
      </c>
      <c r="N474" s="6">
        <v>2022</v>
      </c>
    </row>
    <row r="475" spans="1:14" x14ac:dyDescent="0.25">
      <c r="A475" s="6">
        <v>474</v>
      </c>
      <c r="B475" s="7">
        <v>44652</v>
      </c>
      <c r="C475" s="8" t="s">
        <v>28</v>
      </c>
      <c r="D475" s="8" t="s">
        <v>14</v>
      </c>
      <c r="E475" s="9" t="s">
        <v>47</v>
      </c>
      <c r="F475" s="8" t="s">
        <v>62</v>
      </c>
      <c r="G475" s="8">
        <v>0</v>
      </c>
      <c r="H475" s="8" t="s">
        <v>45</v>
      </c>
      <c r="I475" s="8" t="s">
        <v>53</v>
      </c>
      <c r="J475" s="8" t="s">
        <v>46</v>
      </c>
      <c r="K475" s="8" t="s">
        <v>20</v>
      </c>
      <c r="L475" s="10">
        <v>4130</v>
      </c>
      <c r="M475" s="17" t="s">
        <v>71</v>
      </c>
      <c r="N475" s="6">
        <v>2022</v>
      </c>
    </row>
    <row r="476" spans="1:14" x14ac:dyDescent="0.25">
      <c r="A476" s="6">
        <v>475</v>
      </c>
      <c r="B476" s="7">
        <v>44654</v>
      </c>
      <c r="C476" s="8" t="s">
        <v>32</v>
      </c>
      <c r="D476" s="8" t="s">
        <v>14</v>
      </c>
      <c r="E476" s="9" t="s">
        <v>47</v>
      </c>
      <c r="F476" s="8" t="s">
        <v>62</v>
      </c>
      <c r="G476" s="8">
        <v>3.5</v>
      </c>
      <c r="H476" s="8" t="s">
        <v>57</v>
      </c>
      <c r="I476" s="8" t="s">
        <v>25</v>
      </c>
      <c r="J476" s="8" t="s">
        <v>46</v>
      </c>
      <c r="K476" s="8" t="s">
        <v>40</v>
      </c>
      <c r="L476" s="10">
        <v>1424</v>
      </c>
      <c r="M476" s="17" t="s">
        <v>71</v>
      </c>
      <c r="N476" s="6">
        <v>2022</v>
      </c>
    </row>
    <row r="477" spans="1:14" x14ac:dyDescent="0.25">
      <c r="A477" s="6">
        <v>476</v>
      </c>
      <c r="B477" s="7">
        <v>44655</v>
      </c>
      <c r="C477" s="8" t="s">
        <v>56</v>
      </c>
      <c r="D477" s="8" t="s">
        <v>14</v>
      </c>
      <c r="E477" s="9" t="s">
        <v>34</v>
      </c>
      <c r="F477" s="8" t="s">
        <v>36</v>
      </c>
      <c r="G477" s="8">
        <v>2</v>
      </c>
      <c r="H477" s="8" t="s">
        <v>49</v>
      </c>
      <c r="I477" s="8" t="s">
        <v>25</v>
      </c>
      <c r="J477" s="8" t="s">
        <v>26</v>
      </c>
      <c r="K477" s="8" t="s">
        <v>50</v>
      </c>
      <c r="L477" s="10">
        <v>4908</v>
      </c>
      <c r="M477" s="17" t="s">
        <v>71</v>
      </c>
      <c r="N477" s="6">
        <v>2022</v>
      </c>
    </row>
    <row r="478" spans="1:14" x14ac:dyDescent="0.25">
      <c r="A478" s="6">
        <v>477</v>
      </c>
      <c r="B478" s="7">
        <v>44657</v>
      </c>
      <c r="C478" s="8" t="s">
        <v>56</v>
      </c>
      <c r="D478" s="8" t="s">
        <v>14</v>
      </c>
      <c r="E478" s="9" t="s">
        <v>15</v>
      </c>
      <c r="F478" s="8" t="s">
        <v>48</v>
      </c>
      <c r="G478" s="8">
        <v>0</v>
      </c>
      <c r="H478" s="8" t="s">
        <v>57</v>
      </c>
      <c r="I478" s="8" t="s">
        <v>39</v>
      </c>
      <c r="J478" s="8" t="s">
        <v>19</v>
      </c>
      <c r="K478" s="8" t="s">
        <v>54</v>
      </c>
      <c r="L478" s="10">
        <v>162</v>
      </c>
      <c r="M478" s="17" t="s">
        <v>71</v>
      </c>
      <c r="N478" s="6">
        <v>2022</v>
      </c>
    </row>
    <row r="479" spans="1:14" x14ac:dyDescent="0.25">
      <c r="A479" s="6">
        <v>478</v>
      </c>
      <c r="B479" s="7">
        <v>44658</v>
      </c>
      <c r="C479" s="8" t="s">
        <v>51</v>
      </c>
      <c r="D479" s="8" t="s">
        <v>14</v>
      </c>
      <c r="E479" s="9" t="s">
        <v>22</v>
      </c>
      <c r="F479" s="8" t="s">
        <v>48</v>
      </c>
      <c r="G479" s="8">
        <v>0</v>
      </c>
      <c r="H479" s="8" t="s">
        <v>49</v>
      </c>
      <c r="I479" s="8" t="s">
        <v>53</v>
      </c>
      <c r="J479" s="8" t="s">
        <v>26</v>
      </c>
      <c r="K479" s="8" t="s">
        <v>54</v>
      </c>
      <c r="L479" s="10">
        <v>4149</v>
      </c>
      <c r="M479" s="17" t="s">
        <v>71</v>
      </c>
      <c r="N479" s="6">
        <v>2022</v>
      </c>
    </row>
    <row r="480" spans="1:14" x14ac:dyDescent="0.25">
      <c r="A480" s="6">
        <v>479</v>
      </c>
      <c r="B480" s="7">
        <v>44658</v>
      </c>
      <c r="C480" s="8" t="s">
        <v>32</v>
      </c>
      <c r="D480" s="8" t="s">
        <v>14</v>
      </c>
      <c r="E480" s="9" t="s">
        <v>34</v>
      </c>
      <c r="F480" s="8" t="s">
        <v>62</v>
      </c>
      <c r="G480" s="8">
        <v>0</v>
      </c>
      <c r="H480" s="8" t="s">
        <v>49</v>
      </c>
      <c r="I480" s="8" t="s">
        <v>18</v>
      </c>
      <c r="J480" s="8" t="s">
        <v>46</v>
      </c>
      <c r="K480" s="8" t="s">
        <v>43</v>
      </c>
      <c r="L480" s="10">
        <v>0</v>
      </c>
      <c r="M480" s="17" t="s">
        <v>71</v>
      </c>
      <c r="N480" s="6">
        <v>2022</v>
      </c>
    </row>
    <row r="481" spans="1:14" x14ac:dyDescent="0.25">
      <c r="A481" s="6">
        <v>480</v>
      </c>
      <c r="B481" s="7">
        <v>44659</v>
      </c>
      <c r="C481" s="8" t="s">
        <v>51</v>
      </c>
      <c r="D481" s="8" t="s">
        <v>14</v>
      </c>
      <c r="E481" s="9" t="s">
        <v>47</v>
      </c>
      <c r="F481" s="8" t="s">
        <v>36</v>
      </c>
      <c r="G481" s="8">
        <v>0</v>
      </c>
      <c r="H481" s="8" t="s">
        <v>57</v>
      </c>
      <c r="I481" s="8" t="s">
        <v>18</v>
      </c>
      <c r="J481" s="8" t="s">
        <v>19</v>
      </c>
      <c r="K481" s="8" t="s">
        <v>50</v>
      </c>
      <c r="L481" s="10">
        <v>0</v>
      </c>
      <c r="M481" s="17" t="s">
        <v>71</v>
      </c>
      <c r="N481" s="6">
        <v>2022</v>
      </c>
    </row>
    <row r="482" spans="1:14" x14ac:dyDescent="0.25">
      <c r="A482" s="6">
        <v>481</v>
      </c>
      <c r="B482" s="7">
        <v>44659</v>
      </c>
      <c r="C482" s="8" t="s">
        <v>51</v>
      </c>
      <c r="D482" s="8" t="s">
        <v>14</v>
      </c>
      <c r="E482" s="9" t="s">
        <v>15</v>
      </c>
      <c r="F482" s="8" t="s">
        <v>63</v>
      </c>
      <c r="G482" s="8">
        <v>0</v>
      </c>
      <c r="H482" s="8" t="s">
        <v>37</v>
      </c>
      <c r="I482" s="8" t="s">
        <v>53</v>
      </c>
      <c r="J482" s="8" t="s">
        <v>19</v>
      </c>
      <c r="K482" s="8" t="s">
        <v>52</v>
      </c>
      <c r="L482" s="10">
        <v>1174</v>
      </c>
      <c r="M482" s="17" t="s">
        <v>71</v>
      </c>
      <c r="N482" s="6">
        <v>2022</v>
      </c>
    </row>
    <row r="483" spans="1:14" x14ac:dyDescent="0.25">
      <c r="A483" s="6">
        <v>482</v>
      </c>
      <c r="B483" s="7">
        <v>44663</v>
      </c>
      <c r="C483" s="8" t="s">
        <v>64</v>
      </c>
      <c r="D483" s="8" t="s">
        <v>14</v>
      </c>
      <c r="E483" s="9" t="s">
        <v>22</v>
      </c>
      <c r="F483" s="8" t="s">
        <v>16</v>
      </c>
      <c r="G483" s="8">
        <v>1.5</v>
      </c>
      <c r="H483" s="8" t="s">
        <v>45</v>
      </c>
      <c r="I483" s="8" t="s">
        <v>25</v>
      </c>
      <c r="J483" s="8" t="s">
        <v>19</v>
      </c>
      <c r="K483" s="8" t="s">
        <v>31</v>
      </c>
      <c r="L483" s="10">
        <v>1777</v>
      </c>
      <c r="M483" s="17" t="s">
        <v>71</v>
      </c>
      <c r="N483" s="6">
        <v>2022</v>
      </c>
    </row>
    <row r="484" spans="1:14" x14ac:dyDescent="0.25">
      <c r="A484" s="6">
        <v>483</v>
      </c>
      <c r="B484" s="7">
        <v>44668</v>
      </c>
      <c r="C484" s="8" t="s">
        <v>44</v>
      </c>
      <c r="D484" s="8" t="s">
        <v>14</v>
      </c>
      <c r="E484" s="9" t="s">
        <v>34</v>
      </c>
      <c r="F484" s="8" t="s">
        <v>35</v>
      </c>
      <c r="G484" s="8">
        <v>0</v>
      </c>
      <c r="H484" s="8" t="s">
        <v>57</v>
      </c>
      <c r="I484" s="8" t="s">
        <v>39</v>
      </c>
      <c r="J484" s="8" t="s">
        <v>26</v>
      </c>
      <c r="K484" s="8" t="s">
        <v>59</v>
      </c>
      <c r="L484" s="10">
        <v>59</v>
      </c>
      <c r="M484" s="17" t="s">
        <v>71</v>
      </c>
      <c r="N484" s="6">
        <v>2022</v>
      </c>
    </row>
    <row r="485" spans="1:14" x14ac:dyDescent="0.25">
      <c r="A485" s="6">
        <v>484</v>
      </c>
      <c r="B485" s="7">
        <v>44671</v>
      </c>
      <c r="C485" s="8" t="s">
        <v>51</v>
      </c>
      <c r="D485" s="8" t="s">
        <v>14</v>
      </c>
      <c r="E485" s="9" t="s">
        <v>47</v>
      </c>
      <c r="F485" s="8" t="s">
        <v>23</v>
      </c>
      <c r="G485" s="8">
        <v>0</v>
      </c>
      <c r="H485" s="8" t="s">
        <v>30</v>
      </c>
      <c r="I485" s="8" t="s">
        <v>18</v>
      </c>
      <c r="J485" s="8" t="s">
        <v>46</v>
      </c>
      <c r="K485" s="8" t="s">
        <v>50</v>
      </c>
      <c r="L485" s="10">
        <v>0</v>
      </c>
      <c r="M485" s="17" t="s">
        <v>71</v>
      </c>
      <c r="N485" s="6">
        <v>2022</v>
      </c>
    </row>
    <row r="486" spans="1:14" x14ac:dyDescent="0.25">
      <c r="A486" s="6">
        <v>485</v>
      </c>
      <c r="B486" s="7">
        <v>44675</v>
      </c>
      <c r="C486" s="8" t="s">
        <v>64</v>
      </c>
      <c r="D486" s="8" t="s">
        <v>14</v>
      </c>
      <c r="E486" s="9" t="s">
        <v>15</v>
      </c>
      <c r="F486" s="8" t="s">
        <v>38</v>
      </c>
      <c r="G486" s="8">
        <v>0</v>
      </c>
      <c r="H486" s="8" t="s">
        <v>24</v>
      </c>
      <c r="I486" s="8" t="s">
        <v>53</v>
      </c>
      <c r="J486" s="8" t="s">
        <v>19</v>
      </c>
      <c r="K486" s="8" t="s">
        <v>27</v>
      </c>
      <c r="L486" s="10">
        <v>1848</v>
      </c>
      <c r="M486" s="17" t="s">
        <v>71</v>
      </c>
      <c r="N486" s="6">
        <v>2022</v>
      </c>
    </row>
    <row r="487" spans="1:14" x14ac:dyDescent="0.25">
      <c r="A487" s="6">
        <v>486</v>
      </c>
      <c r="B487" s="7">
        <v>44675</v>
      </c>
      <c r="C487" s="8" t="s">
        <v>28</v>
      </c>
      <c r="D487" s="8" t="s">
        <v>14</v>
      </c>
      <c r="E487" s="9" t="s">
        <v>47</v>
      </c>
      <c r="F487" s="8" t="s">
        <v>63</v>
      </c>
      <c r="G487" s="8">
        <v>0</v>
      </c>
      <c r="H487" s="8" t="s">
        <v>17</v>
      </c>
      <c r="I487" s="8" t="s">
        <v>18</v>
      </c>
      <c r="J487" s="8" t="s">
        <v>26</v>
      </c>
      <c r="K487" s="8" t="s">
        <v>52</v>
      </c>
      <c r="L487" s="10">
        <v>0</v>
      </c>
      <c r="M487" s="17" t="s">
        <v>71</v>
      </c>
      <c r="N487" s="6">
        <v>2022</v>
      </c>
    </row>
    <row r="488" spans="1:14" x14ac:dyDescent="0.25">
      <c r="A488" s="6">
        <v>487</v>
      </c>
      <c r="B488" s="7">
        <v>44678</v>
      </c>
      <c r="C488" s="8" t="s">
        <v>44</v>
      </c>
      <c r="D488" s="8" t="s">
        <v>14</v>
      </c>
      <c r="E488" s="9" t="s">
        <v>22</v>
      </c>
      <c r="F488" s="8" t="s">
        <v>63</v>
      </c>
      <c r="G488" s="8">
        <v>0</v>
      </c>
      <c r="H488" s="8" t="s">
        <v>55</v>
      </c>
      <c r="I488" s="8" t="s">
        <v>53</v>
      </c>
      <c r="J488" s="8" t="s">
        <v>26</v>
      </c>
      <c r="K488" s="8" t="s">
        <v>31</v>
      </c>
      <c r="L488" s="10">
        <v>1696</v>
      </c>
      <c r="M488" s="17" t="s">
        <v>71</v>
      </c>
      <c r="N488" s="6">
        <v>2022</v>
      </c>
    </row>
    <row r="489" spans="1:14" x14ac:dyDescent="0.25">
      <c r="A489" s="6">
        <v>488</v>
      </c>
      <c r="B489" s="7">
        <v>44678</v>
      </c>
      <c r="C489" s="8" t="s">
        <v>21</v>
      </c>
      <c r="D489" s="8" t="s">
        <v>14</v>
      </c>
      <c r="E489" s="9" t="s">
        <v>42</v>
      </c>
      <c r="F489" s="8" t="s">
        <v>48</v>
      </c>
      <c r="G489" s="8">
        <v>0</v>
      </c>
      <c r="H489" s="8" t="s">
        <v>55</v>
      </c>
      <c r="I489" s="8" t="s">
        <v>39</v>
      </c>
      <c r="J489" s="8" t="s">
        <v>46</v>
      </c>
      <c r="K489" s="8" t="s">
        <v>40</v>
      </c>
      <c r="L489" s="10">
        <v>5</v>
      </c>
      <c r="M489" s="17" t="s">
        <v>71</v>
      </c>
      <c r="N489" s="6">
        <v>2022</v>
      </c>
    </row>
    <row r="490" spans="1:14" x14ac:dyDescent="0.25">
      <c r="A490" s="6">
        <v>489</v>
      </c>
      <c r="B490" s="7">
        <v>44680</v>
      </c>
      <c r="C490" s="8" t="s">
        <v>61</v>
      </c>
      <c r="D490" s="8" t="s">
        <v>14</v>
      </c>
      <c r="E490" s="9" t="s">
        <v>47</v>
      </c>
      <c r="F490" s="8" t="s">
        <v>63</v>
      </c>
      <c r="G490" s="8">
        <v>0</v>
      </c>
      <c r="H490" s="8" t="s">
        <v>37</v>
      </c>
      <c r="I490" s="8" t="s">
        <v>18</v>
      </c>
      <c r="J490" s="8" t="s">
        <v>46</v>
      </c>
      <c r="K490" s="8" t="s">
        <v>52</v>
      </c>
      <c r="L490" s="10">
        <v>0</v>
      </c>
      <c r="M490" s="17" t="s">
        <v>71</v>
      </c>
      <c r="N490" s="6">
        <v>2022</v>
      </c>
    </row>
    <row r="491" spans="1:14" x14ac:dyDescent="0.25">
      <c r="A491" s="6">
        <v>490</v>
      </c>
      <c r="B491" s="7">
        <v>44684</v>
      </c>
      <c r="C491" s="8" t="s">
        <v>56</v>
      </c>
      <c r="D491" s="8" t="s">
        <v>33</v>
      </c>
      <c r="E491" s="9" t="s">
        <v>15</v>
      </c>
      <c r="F491" s="8" t="s">
        <v>23</v>
      </c>
      <c r="G491" s="8">
        <v>0</v>
      </c>
      <c r="H491" s="8" t="s">
        <v>60</v>
      </c>
      <c r="I491" s="8" t="s">
        <v>53</v>
      </c>
      <c r="J491" s="8" t="s">
        <v>19</v>
      </c>
      <c r="K491" s="8" t="s">
        <v>31</v>
      </c>
      <c r="L491" s="10">
        <v>2795</v>
      </c>
      <c r="M491" s="17" t="s">
        <v>72</v>
      </c>
      <c r="N491" s="6">
        <v>2022</v>
      </c>
    </row>
    <row r="492" spans="1:14" x14ac:dyDescent="0.25">
      <c r="A492" s="6">
        <v>491</v>
      </c>
      <c r="B492" s="7">
        <v>44687</v>
      </c>
      <c r="C492" s="8" t="s">
        <v>61</v>
      </c>
      <c r="D492" s="8" t="s">
        <v>14</v>
      </c>
      <c r="E492" s="9" t="s">
        <v>15</v>
      </c>
      <c r="F492" s="8" t="s">
        <v>16</v>
      </c>
      <c r="G492" s="8">
        <v>0</v>
      </c>
      <c r="H492" s="8" t="s">
        <v>57</v>
      </c>
      <c r="I492" s="8" t="s">
        <v>18</v>
      </c>
      <c r="J492" s="8" t="s">
        <v>26</v>
      </c>
      <c r="K492" s="8" t="s">
        <v>27</v>
      </c>
      <c r="L492" s="10">
        <v>0</v>
      </c>
      <c r="M492" s="17" t="s">
        <v>72</v>
      </c>
      <c r="N492" s="6">
        <v>2022</v>
      </c>
    </row>
    <row r="493" spans="1:14" x14ac:dyDescent="0.25">
      <c r="A493" s="6">
        <v>492</v>
      </c>
      <c r="B493" s="7">
        <v>44688</v>
      </c>
      <c r="C493" s="8" t="s">
        <v>58</v>
      </c>
      <c r="D493" s="8" t="s">
        <v>14</v>
      </c>
      <c r="E493" s="9" t="s">
        <v>47</v>
      </c>
      <c r="F493" s="8" t="s">
        <v>23</v>
      </c>
      <c r="G493" s="8">
        <v>0</v>
      </c>
      <c r="H493" s="8" t="s">
        <v>24</v>
      </c>
      <c r="I493" s="8" t="s">
        <v>18</v>
      </c>
      <c r="J493" s="8" t="s">
        <v>19</v>
      </c>
      <c r="K493" s="8" t="s">
        <v>59</v>
      </c>
      <c r="L493" s="10">
        <v>0</v>
      </c>
      <c r="M493" s="17" t="s">
        <v>72</v>
      </c>
      <c r="N493" s="6">
        <v>2022</v>
      </c>
    </row>
    <row r="494" spans="1:14" x14ac:dyDescent="0.25">
      <c r="A494" s="6">
        <v>493</v>
      </c>
      <c r="B494" s="7">
        <v>44689</v>
      </c>
      <c r="C494" s="8" t="s">
        <v>28</v>
      </c>
      <c r="D494" s="8" t="s">
        <v>14</v>
      </c>
      <c r="E494" s="9" t="s">
        <v>15</v>
      </c>
      <c r="F494" s="8" t="s">
        <v>63</v>
      </c>
      <c r="G494" s="8">
        <v>0</v>
      </c>
      <c r="H494" s="8" t="s">
        <v>57</v>
      </c>
      <c r="I494" s="8" t="s">
        <v>39</v>
      </c>
      <c r="J494" s="8" t="s">
        <v>26</v>
      </c>
      <c r="K494" s="8" t="s">
        <v>52</v>
      </c>
      <c r="L494" s="10">
        <v>277</v>
      </c>
      <c r="M494" s="17" t="s">
        <v>72</v>
      </c>
      <c r="N494" s="6">
        <v>2022</v>
      </c>
    </row>
    <row r="495" spans="1:14" x14ac:dyDescent="0.25">
      <c r="A495" s="6">
        <v>494</v>
      </c>
      <c r="B495" s="7">
        <v>44692</v>
      </c>
      <c r="C495" s="8" t="s">
        <v>28</v>
      </c>
      <c r="D495" s="8" t="s">
        <v>14</v>
      </c>
      <c r="E495" s="9" t="s">
        <v>47</v>
      </c>
      <c r="F495" s="8" t="s">
        <v>48</v>
      </c>
      <c r="G495" s="8">
        <v>0</v>
      </c>
      <c r="H495" s="8" t="s">
        <v>17</v>
      </c>
      <c r="I495" s="8" t="s">
        <v>39</v>
      </c>
      <c r="J495" s="8" t="s">
        <v>19</v>
      </c>
      <c r="K495" s="8" t="s">
        <v>40</v>
      </c>
      <c r="L495" s="10">
        <v>189</v>
      </c>
      <c r="M495" s="17" t="s">
        <v>72</v>
      </c>
      <c r="N495" s="6">
        <v>2022</v>
      </c>
    </row>
    <row r="496" spans="1:14" x14ac:dyDescent="0.25">
      <c r="A496" s="6">
        <v>495</v>
      </c>
      <c r="B496" s="7">
        <v>44697</v>
      </c>
      <c r="C496" s="8" t="s">
        <v>61</v>
      </c>
      <c r="D496" s="8" t="s">
        <v>14</v>
      </c>
      <c r="E496" s="9" t="s">
        <v>34</v>
      </c>
      <c r="F496" s="8" t="s">
        <v>35</v>
      </c>
      <c r="G496" s="8">
        <v>2.5</v>
      </c>
      <c r="H496" s="8" t="s">
        <v>49</v>
      </c>
      <c r="I496" s="8" t="s">
        <v>25</v>
      </c>
      <c r="J496" s="8" t="s">
        <v>46</v>
      </c>
      <c r="K496" s="8" t="s">
        <v>50</v>
      </c>
      <c r="L496" s="10">
        <v>4563</v>
      </c>
      <c r="M496" s="17" t="s">
        <v>72</v>
      </c>
      <c r="N496" s="6">
        <v>2022</v>
      </c>
    </row>
    <row r="497" spans="1:14" x14ac:dyDescent="0.25">
      <c r="A497" s="6">
        <v>496</v>
      </c>
      <c r="B497" s="7">
        <v>44698</v>
      </c>
      <c r="C497" s="8" t="s">
        <v>61</v>
      </c>
      <c r="D497" s="8" t="s">
        <v>14</v>
      </c>
      <c r="E497" s="9" t="s">
        <v>15</v>
      </c>
      <c r="F497" s="8" t="s">
        <v>62</v>
      </c>
      <c r="G497" s="8">
        <v>0</v>
      </c>
      <c r="H497" s="8" t="s">
        <v>57</v>
      </c>
      <c r="I497" s="8" t="s">
        <v>39</v>
      </c>
      <c r="J497" s="8" t="s">
        <v>19</v>
      </c>
      <c r="K497" s="8" t="s">
        <v>31</v>
      </c>
      <c r="L497" s="10">
        <v>341</v>
      </c>
      <c r="M497" s="17" t="s">
        <v>72</v>
      </c>
      <c r="N497" s="6">
        <v>2022</v>
      </c>
    </row>
    <row r="498" spans="1:14" x14ac:dyDescent="0.25">
      <c r="A498" s="6">
        <v>497</v>
      </c>
      <c r="B498" s="7">
        <v>44700</v>
      </c>
      <c r="C498" s="8" t="s">
        <v>44</v>
      </c>
      <c r="D498" s="8" t="s">
        <v>14</v>
      </c>
      <c r="E498" s="9" t="s">
        <v>15</v>
      </c>
      <c r="F498" s="8" t="s">
        <v>29</v>
      </c>
      <c r="G498" s="8">
        <v>0</v>
      </c>
      <c r="H498" s="8" t="s">
        <v>30</v>
      </c>
      <c r="I498" s="8" t="s">
        <v>18</v>
      </c>
      <c r="J498" s="8" t="s">
        <v>26</v>
      </c>
      <c r="K498" s="8" t="s">
        <v>54</v>
      </c>
      <c r="L498" s="10">
        <v>0</v>
      </c>
      <c r="M498" s="17" t="s">
        <v>72</v>
      </c>
      <c r="N498" s="6">
        <v>2022</v>
      </c>
    </row>
    <row r="499" spans="1:14" x14ac:dyDescent="0.25">
      <c r="A499" s="6">
        <v>498</v>
      </c>
      <c r="B499" s="7">
        <v>44704</v>
      </c>
      <c r="C499" s="8" t="s">
        <v>21</v>
      </c>
      <c r="D499" s="8" t="s">
        <v>14</v>
      </c>
      <c r="E499" s="9" t="s">
        <v>15</v>
      </c>
      <c r="F499" s="8" t="s">
        <v>16</v>
      </c>
      <c r="G499" s="8">
        <v>0</v>
      </c>
      <c r="H499" s="8" t="s">
        <v>49</v>
      </c>
      <c r="I499" s="8" t="s">
        <v>53</v>
      </c>
      <c r="J499" s="8" t="s">
        <v>26</v>
      </c>
      <c r="K499" s="8" t="s">
        <v>59</v>
      </c>
      <c r="L499" s="10">
        <v>1824</v>
      </c>
      <c r="M499" s="17" t="s">
        <v>72</v>
      </c>
      <c r="N499" s="6">
        <v>2022</v>
      </c>
    </row>
    <row r="500" spans="1:14" x14ac:dyDescent="0.25">
      <c r="A500" s="6">
        <v>499</v>
      </c>
      <c r="B500" s="7">
        <v>44707</v>
      </c>
      <c r="C500" s="8" t="s">
        <v>13</v>
      </c>
      <c r="D500" s="8" t="s">
        <v>14</v>
      </c>
      <c r="E500" s="9" t="s">
        <v>47</v>
      </c>
      <c r="F500" s="8" t="s">
        <v>29</v>
      </c>
      <c r="G500" s="8">
        <v>0</v>
      </c>
      <c r="H500" s="8" t="s">
        <v>49</v>
      </c>
      <c r="I500" s="8" t="s">
        <v>53</v>
      </c>
      <c r="J500" s="8" t="s">
        <v>46</v>
      </c>
      <c r="K500" s="8" t="s">
        <v>27</v>
      </c>
      <c r="L500" s="10">
        <v>1643</v>
      </c>
      <c r="M500" s="17" t="s">
        <v>72</v>
      </c>
      <c r="N500" s="6">
        <v>2022</v>
      </c>
    </row>
    <row r="501" spans="1:14" x14ac:dyDescent="0.25">
      <c r="A501" s="6">
        <v>500</v>
      </c>
      <c r="B501" s="7">
        <v>44708</v>
      </c>
      <c r="C501" s="8" t="s">
        <v>28</v>
      </c>
      <c r="D501" s="8" t="s">
        <v>14</v>
      </c>
      <c r="E501" s="9" t="s">
        <v>47</v>
      </c>
      <c r="F501" s="8" t="s">
        <v>62</v>
      </c>
      <c r="G501" s="8">
        <v>0</v>
      </c>
      <c r="H501" s="8" t="s">
        <v>30</v>
      </c>
      <c r="I501" s="8" t="s">
        <v>39</v>
      </c>
      <c r="J501" s="8" t="s">
        <v>19</v>
      </c>
      <c r="K501" s="8" t="s">
        <v>31</v>
      </c>
      <c r="L501" s="10">
        <v>115</v>
      </c>
      <c r="M501" s="17" t="s">
        <v>72</v>
      </c>
      <c r="N501" s="6">
        <v>2022</v>
      </c>
    </row>
    <row r="502" spans="1:14" x14ac:dyDescent="0.25">
      <c r="A502" s="6">
        <v>501</v>
      </c>
      <c r="B502" s="7">
        <v>44711</v>
      </c>
      <c r="C502" s="8" t="s">
        <v>44</v>
      </c>
      <c r="D502" s="8" t="s">
        <v>14</v>
      </c>
      <c r="E502" s="9" t="s">
        <v>47</v>
      </c>
      <c r="F502" s="8" t="s">
        <v>16</v>
      </c>
      <c r="G502" s="9">
        <v>1</v>
      </c>
      <c r="H502" s="8" t="s">
        <v>60</v>
      </c>
      <c r="I502" s="8" t="s">
        <v>25</v>
      </c>
      <c r="J502" s="8" t="s">
        <v>46</v>
      </c>
      <c r="K502" s="8" t="s">
        <v>20</v>
      </c>
      <c r="L502" s="10">
        <v>1449</v>
      </c>
      <c r="M502" s="17" t="s">
        <v>72</v>
      </c>
      <c r="N502" s="6">
        <v>2022</v>
      </c>
    </row>
    <row r="503" spans="1:14" x14ac:dyDescent="0.25">
      <c r="A503" s="6">
        <v>502</v>
      </c>
      <c r="B503" s="7">
        <v>44712</v>
      </c>
      <c r="C503" s="8" t="s">
        <v>44</v>
      </c>
      <c r="D503" s="8" t="s">
        <v>14</v>
      </c>
      <c r="E503" s="9" t="s">
        <v>15</v>
      </c>
      <c r="F503" s="8" t="s">
        <v>48</v>
      </c>
      <c r="G503" s="9">
        <v>0</v>
      </c>
      <c r="H503" s="8" t="s">
        <v>45</v>
      </c>
      <c r="I503" s="8" t="s">
        <v>53</v>
      </c>
      <c r="J503" s="8" t="s">
        <v>19</v>
      </c>
      <c r="K503" s="8" t="s">
        <v>20</v>
      </c>
      <c r="L503" s="10">
        <v>2764</v>
      </c>
      <c r="M503" s="17" t="s">
        <v>72</v>
      </c>
      <c r="N503" s="6">
        <v>2022</v>
      </c>
    </row>
    <row r="504" spans="1:14" x14ac:dyDescent="0.25">
      <c r="A504" s="6">
        <v>503</v>
      </c>
      <c r="B504" s="7">
        <v>44715</v>
      </c>
      <c r="C504" s="8" t="s">
        <v>56</v>
      </c>
      <c r="D504" s="8" t="s">
        <v>14</v>
      </c>
      <c r="E504" s="9" t="s">
        <v>34</v>
      </c>
      <c r="F504" s="8" t="s">
        <v>36</v>
      </c>
      <c r="G504" s="9">
        <v>0</v>
      </c>
      <c r="H504" s="8" t="s">
        <v>24</v>
      </c>
      <c r="I504" s="8" t="s">
        <v>18</v>
      </c>
      <c r="J504" s="8" t="s">
        <v>19</v>
      </c>
      <c r="K504" s="8" t="s">
        <v>50</v>
      </c>
      <c r="L504" s="10">
        <v>0</v>
      </c>
      <c r="M504" s="17" t="s">
        <v>73</v>
      </c>
      <c r="N504" s="6">
        <v>2022</v>
      </c>
    </row>
    <row r="505" spans="1:14" x14ac:dyDescent="0.25">
      <c r="A505" s="6">
        <v>504</v>
      </c>
      <c r="B505" s="7">
        <v>44715</v>
      </c>
      <c r="C505" s="8" t="s">
        <v>65</v>
      </c>
      <c r="D505" s="8" t="s">
        <v>14</v>
      </c>
      <c r="E505" s="9" t="s">
        <v>34</v>
      </c>
      <c r="F505" s="8" t="s">
        <v>62</v>
      </c>
      <c r="G505" s="9">
        <v>0</v>
      </c>
      <c r="H505" s="8" t="s">
        <v>45</v>
      </c>
      <c r="I505" s="8" t="s">
        <v>39</v>
      </c>
      <c r="J505" s="8" t="s">
        <v>26</v>
      </c>
      <c r="K505" s="8" t="s">
        <v>50</v>
      </c>
      <c r="L505" s="10">
        <v>67</v>
      </c>
      <c r="M505" s="17" t="s">
        <v>73</v>
      </c>
      <c r="N505" s="6">
        <v>2022</v>
      </c>
    </row>
    <row r="506" spans="1:14" x14ac:dyDescent="0.25">
      <c r="A506" s="6">
        <v>505</v>
      </c>
      <c r="B506" s="7">
        <v>44715</v>
      </c>
      <c r="C506" s="8" t="s">
        <v>32</v>
      </c>
      <c r="D506" s="8" t="s">
        <v>14</v>
      </c>
      <c r="E506" s="9" t="s">
        <v>47</v>
      </c>
      <c r="F506" s="8" t="s">
        <v>16</v>
      </c>
      <c r="G506" s="9">
        <v>0</v>
      </c>
      <c r="H506" s="8" t="s">
        <v>30</v>
      </c>
      <c r="I506" s="8" t="s">
        <v>53</v>
      </c>
      <c r="J506" s="8" t="s">
        <v>19</v>
      </c>
      <c r="K506" s="8" t="s">
        <v>54</v>
      </c>
      <c r="L506" s="10">
        <v>4639</v>
      </c>
      <c r="M506" s="17" t="s">
        <v>73</v>
      </c>
      <c r="N506" s="6">
        <v>2022</v>
      </c>
    </row>
    <row r="507" spans="1:14" x14ac:dyDescent="0.25">
      <c r="A507" s="6">
        <v>506</v>
      </c>
      <c r="B507" s="7">
        <v>44717</v>
      </c>
      <c r="C507" s="8" t="s">
        <v>56</v>
      </c>
      <c r="D507" s="8" t="s">
        <v>14</v>
      </c>
      <c r="E507" s="9" t="s">
        <v>34</v>
      </c>
      <c r="F507" s="8" t="s">
        <v>63</v>
      </c>
      <c r="G507" s="9">
        <v>0</v>
      </c>
      <c r="H507" s="8" t="s">
        <v>17</v>
      </c>
      <c r="I507" s="8" t="s">
        <v>18</v>
      </c>
      <c r="J507" s="8" t="s">
        <v>26</v>
      </c>
      <c r="K507" s="8" t="s">
        <v>43</v>
      </c>
      <c r="L507" s="10">
        <v>0</v>
      </c>
      <c r="M507" s="17" t="s">
        <v>73</v>
      </c>
      <c r="N507" s="6">
        <v>2022</v>
      </c>
    </row>
    <row r="508" spans="1:14" x14ac:dyDescent="0.25">
      <c r="A508" s="6">
        <v>507</v>
      </c>
      <c r="B508" s="7">
        <v>44719</v>
      </c>
      <c r="C508" s="8" t="s">
        <v>64</v>
      </c>
      <c r="D508" s="8" t="s">
        <v>14</v>
      </c>
      <c r="E508" s="9" t="s">
        <v>42</v>
      </c>
      <c r="F508" s="8" t="s">
        <v>38</v>
      </c>
      <c r="G508" s="9">
        <v>0</v>
      </c>
      <c r="H508" s="8" t="s">
        <v>45</v>
      </c>
      <c r="I508" s="8" t="s">
        <v>18</v>
      </c>
      <c r="J508" s="8" t="s">
        <v>26</v>
      </c>
      <c r="K508" s="8" t="s">
        <v>52</v>
      </c>
      <c r="L508" s="10">
        <v>0</v>
      </c>
      <c r="M508" s="17" t="s">
        <v>73</v>
      </c>
      <c r="N508" s="6">
        <v>2022</v>
      </c>
    </row>
    <row r="509" spans="1:14" x14ac:dyDescent="0.25">
      <c r="A509" s="6">
        <v>508</v>
      </c>
      <c r="B509" s="7">
        <v>44722</v>
      </c>
      <c r="C509" s="8" t="s">
        <v>13</v>
      </c>
      <c r="D509" s="8" t="s">
        <v>33</v>
      </c>
      <c r="E509" s="9" t="s">
        <v>15</v>
      </c>
      <c r="F509" s="8" t="s">
        <v>63</v>
      </c>
      <c r="G509" s="9">
        <v>0</v>
      </c>
      <c r="H509" s="8" t="s">
        <v>49</v>
      </c>
      <c r="I509" s="8" t="s">
        <v>53</v>
      </c>
      <c r="J509" s="8" t="s">
        <v>26</v>
      </c>
      <c r="K509" s="8" t="s">
        <v>31</v>
      </c>
      <c r="L509" s="10">
        <v>2356</v>
      </c>
      <c r="M509" s="17" t="s">
        <v>73</v>
      </c>
      <c r="N509" s="6">
        <v>2022</v>
      </c>
    </row>
    <row r="510" spans="1:14" x14ac:dyDescent="0.25">
      <c r="A510" s="6">
        <v>509</v>
      </c>
      <c r="B510" s="7">
        <v>44737</v>
      </c>
      <c r="C510" s="8" t="s">
        <v>44</v>
      </c>
      <c r="D510" s="8" t="s">
        <v>14</v>
      </c>
      <c r="E510" s="9" t="s">
        <v>15</v>
      </c>
      <c r="F510" s="8" t="s">
        <v>16</v>
      </c>
      <c r="G510" s="9">
        <v>0</v>
      </c>
      <c r="H510" s="8" t="s">
        <v>17</v>
      </c>
      <c r="I510" s="8" t="s">
        <v>53</v>
      </c>
      <c r="J510" s="8" t="s">
        <v>26</v>
      </c>
      <c r="K510" s="8" t="s">
        <v>43</v>
      </c>
      <c r="L510" s="10">
        <v>2184</v>
      </c>
      <c r="M510" s="17" t="s">
        <v>73</v>
      </c>
      <c r="N510" s="6">
        <v>2022</v>
      </c>
    </row>
    <row r="511" spans="1:14" x14ac:dyDescent="0.25">
      <c r="A511" s="6">
        <v>510</v>
      </c>
      <c r="B511" s="7">
        <v>44738</v>
      </c>
      <c r="C511" s="8" t="s">
        <v>61</v>
      </c>
      <c r="D511" s="8" t="s">
        <v>33</v>
      </c>
      <c r="E511" s="9" t="s">
        <v>15</v>
      </c>
      <c r="F511" s="8" t="s">
        <v>38</v>
      </c>
      <c r="G511" s="9">
        <v>0</v>
      </c>
      <c r="H511" s="8" t="s">
        <v>45</v>
      </c>
      <c r="I511" s="8" t="s">
        <v>39</v>
      </c>
      <c r="J511" s="8" t="s">
        <v>46</v>
      </c>
      <c r="K511" s="8" t="s">
        <v>31</v>
      </c>
      <c r="L511" s="10">
        <v>77</v>
      </c>
      <c r="M511" s="17" t="s">
        <v>73</v>
      </c>
      <c r="N511" s="6">
        <v>2022</v>
      </c>
    </row>
    <row r="512" spans="1:14" x14ac:dyDescent="0.25">
      <c r="A512" s="6">
        <v>511</v>
      </c>
      <c r="B512" s="7">
        <v>44739</v>
      </c>
      <c r="C512" s="8" t="s">
        <v>58</v>
      </c>
      <c r="D512" s="8" t="s">
        <v>14</v>
      </c>
      <c r="E512" s="9" t="s">
        <v>34</v>
      </c>
      <c r="F512" s="8" t="s">
        <v>36</v>
      </c>
      <c r="G512" s="9">
        <v>0</v>
      </c>
      <c r="H512" s="8" t="s">
        <v>49</v>
      </c>
      <c r="I512" s="8" t="s">
        <v>18</v>
      </c>
      <c r="J512" s="8" t="s">
        <v>19</v>
      </c>
      <c r="K512" s="8" t="s">
        <v>59</v>
      </c>
      <c r="L512" s="10">
        <v>0</v>
      </c>
      <c r="M512" s="17" t="s">
        <v>73</v>
      </c>
      <c r="N512" s="6">
        <v>2022</v>
      </c>
    </row>
    <row r="513" spans="1:14" x14ac:dyDescent="0.25">
      <c r="A513" s="6">
        <v>512</v>
      </c>
      <c r="B513" s="7">
        <v>44740</v>
      </c>
      <c r="C513" s="8" t="s">
        <v>58</v>
      </c>
      <c r="D513" s="8" t="s">
        <v>14</v>
      </c>
      <c r="E513" s="9" t="s">
        <v>47</v>
      </c>
      <c r="F513" s="8" t="s">
        <v>29</v>
      </c>
      <c r="G513" s="9">
        <v>0</v>
      </c>
      <c r="H513" s="8" t="s">
        <v>49</v>
      </c>
      <c r="I513" s="8" t="s">
        <v>18</v>
      </c>
      <c r="J513" s="8" t="s">
        <v>19</v>
      </c>
      <c r="K513" s="8" t="s">
        <v>43</v>
      </c>
      <c r="L513" s="10">
        <v>0</v>
      </c>
      <c r="M513" s="17" t="s">
        <v>73</v>
      </c>
      <c r="N513" s="6">
        <v>2022</v>
      </c>
    </row>
    <row r="514" spans="1:14" x14ac:dyDescent="0.25">
      <c r="A514" s="6">
        <v>513</v>
      </c>
      <c r="B514" s="7">
        <v>44740</v>
      </c>
      <c r="C514" s="8" t="s">
        <v>65</v>
      </c>
      <c r="D514" s="8" t="s">
        <v>14</v>
      </c>
      <c r="E514" s="9" t="s">
        <v>34</v>
      </c>
      <c r="F514" s="8" t="s">
        <v>35</v>
      </c>
      <c r="G514" s="9">
        <v>0</v>
      </c>
      <c r="H514" s="8" t="s">
        <v>49</v>
      </c>
      <c r="I514" s="8" t="s">
        <v>53</v>
      </c>
      <c r="J514" s="8" t="s">
        <v>46</v>
      </c>
      <c r="K514" s="8" t="s">
        <v>31</v>
      </c>
      <c r="L514" s="10">
        <v>804</v>
      </c>
      <c r="M514" s="17" t="s">
        <v>73</v>
      </c>
      <c r="N514" s="6">
        <v>2022</v>
      </c>
    </row>
    <row r="515" spans="1:14" x14ac:dyDescent="0.25">
      <c r="A515" s="6">
        <v>514</v>
      </c>
      <c r="B515" s="7">
        <v>44740</v>
      </c>
      <c r="C515" s="8" t="s">
        <v>58</v>
      </c>
      <c r="D515" s="8" t="s">
        <v>14</v>
      </c>
      <c r="E515" s="9" t="s">
        <v>47</v>
      </c>
      <c r="F515" s="8" t="s">
        <v>23</v>
      </c>
      <c r="G515" s="9">
        <v>0</v>
      </c>
      <c r="H515" s="8" t="s">
        <v>55</v>
      </c>
      <c r="I515" s="8" t="s">
        <v>53</v>
      </c>
      <c r="J515" s="8" t="s">
        <v>19</v>
      </c>
      <c r="K515" s="8" t="s">
        <v>59</v>
      </c>
      <c r="L515" s="10">
        <v>706</v>
      </c>
      <c r="M515" s="17" t="s">
        <v>73</v>
      </c>
      <c r="N515" s="6">
        <v>2022</v>
      </c>
    </row>
    <row r="516" spans="1:14" x14ac:dyDescent="0.25">
      <c r="A516" s="5">
        <f>COUNT(A1:A515)</f>
        <v>514</v>
      </c>
      <c r="L516" s="14">
        <f>SUM(SafetyData[[#All],[Incident Cost]])</f>
        <v>717795</v>
      </c>
    </row>
    <row r="518" spans="1:14" x14ac:dyDescent="0.25">
      <c r="B518" s="24" t="s">
        <v>86</v>
      </c>
      <c r="E518" s="24" t="s">
        <v>87</v>
      </c>
    </row>
    <row r="519" spans="1:14" x14ac:dyDescent="0.25">
      <c r="C519" s="14">
        <f>L516</f>
        <v>717795</v>
      </c>
      <c r="E519" s="13" t="s">
        <v>88</v>
      </c>
      <c r="F519" s="13">
        <f>COUNTIF(I2:I515,"Near Miss")</f>
        <v>139</v>
      </c>
      <c r="J519" s="5"/>
      <c r="K519" s="5"/>
      <c r="L519" s="5"/>
      <c r="M519" s="19"/>
    </row>
    <row r="520" spans="1:14" x14ac:dyDescent="0.25">
      <c r="C520" s="13">
        <f>A516</f>
        <v>514</v>
      </c>
      <c r="E520" s="13" t="s">
        <v>89</v>
      </c>
      <c r="F520" s="13">
        <v>514</v>
      </c>
      <c r="J520" s="5"/>
      <c r="K520" s="5"/>
      <c r="L520" s="5"/>
      <c r="M520" s="19"/>
    </row>
    <row r="521" spans="1:14" x14ac:dyDescent="0.25">
      <c r="C521" s="25">
        <f>C519/C520</f>
        <v>1396.488326848249</v>
      </c>
      <c r="F521" s="26">
        <f>139/514*100</f>
        <v>27.042801556420233</v>
      </c>
      <c r="J521" s="5"/>
      <c r="K521" s="5"/>
      <c r="L521" s="5"/>
      <c r="M521" s="19"/>
    </row>
    <row r="522" spans="1:14" x14ac:dyDescent="0.25">
      <c r="F522" s="27" t="s">
        <v>90</v>
      </c>
      <c r="J522" s="5"/>
      <c r="K522" s="5"/>
      <c r="L522" s="5"/>
      <c r="M522" s="19"/>
    </row>
    <row r="523" spans="1:14" x14ac:dyDescent="0.25">
      <c r="J523" s="5"/>
      <c r="K523" s="5"/>
      <c r="L523" s="5"/>
      <c r="M523" s="19"/>
    </row>
    <row r="524" spans="1:14" x14ac:dyDescent="0.25">
      <c r="J524" s="5"/>
      <c r="K524" s="5"/>
      <c r="L524" s="5"/>
      <c r="M524" s="19"/>
    </row>
    <row r="525" spans="1:14" x14ac:dyDescent="0.25">
      <c r="J525" s="5"/>
      <c r="K525" s="5"/>
      <c r="L525" s="5"/>
      <c r="M525" s="19"/>
    </row>
    <row r="526" spans="1:14" x14ac:dyDescent="0.25">
      <c r="J526" s="5"/>
      <c r="K526" s="5"/>
      <c r="L526" s="5"/>
      <c r="M526" s="19"/>
    </row>
  </sheetData>
  <pageMargins left="0.7" right="0.7" top="0.75" bottom="0.75" header="0.3" footer="0.3"/>
  <pageSetup orientation="portrait" r:id="rId1"/>
  <ignoredErrors>
    <ignoredError sqref="F522"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50"/>
  <sheetViews>
    <sheetView zoomScale="70" zoomScaleNormal="70" workbookViewId="0">
      <selection activeCell="V35" sqref="V35"/>
    </sheetView>
  </sheetViews>
  <sheetFormatPr defaultRowHeight="15" x14ac:dyDescent="0.25"/>
  <cols>
    <col min="1" max="1" width="17.85546875" bestFit="1" customWidth="1"/>
    <col min="2" max="3" width="17.7109375" bestFit="1" customWidth="1"/>
    <col min="8" max="8" width="12.85546875" customWidth="1"/>
    <col min="10" max="10" width="15" bestFit="1" customWidth="1"/>
    <col min="11" max="11" width="23.42578125" bestFit="1" customWidth="1"/>
    <col min="19" max="19" width="20.5703125" bestFit="1" customWidth="1"/>
    <col min="20" max="20" width="22.42578125" bestFit="1" customWidth="1"/>
    <col min="28" max="28" width="15" bestFit="1" customWidth="1"/>
    <col min="29" max="29" width="19.28515625" bestFit="1" customWidth="1"/>
    <col min="30" max="30" width="15.42578125" bestFit="1" customWidth="1"/>
    <col min="35" max="35" width="15.42578125" customWidth="1"/>
    <col min="36" max="36" width="15.7109375" bestFit="1" customWidth="1"/>
    <col min="37" max="37" width="21.7109375" bestFit="1" customWidth="1"/>
    <col min="38" max="38" width="14.5703125" bestFit="1" customWidth="1"/>
    <col min="39" max="39" width="12" bestFit="1" customWidth="1"/>
    <col min="40" max="40" width="16.7109375" bestFit="1" customWidth="1"/>
    <col min="41" max="41" width="10" bestFit="1" customWidth="1"/>
    <col min="42" max="42" width="11.140625" bestFit="1" customWidth="1"/>
    <col min="43" max="43" width="14.5703125" bestFit="1" customWidth="1"/>
    <col min="44" max="44" width="11.140625" bestFit="1" customWidth="1"/>
    <col min="45" max="45" width="11.7109375" bestFit="1" customWidth="1"/>
    <col min="46" max="46" width="15" bestFit="1" customWidth="1"/>
    <col min="47" max="47" width="10.7109375" bestFit="1" customWidth="1"/>
  </cols>
  <sheetData>
    <row r="1" spans="1:37" x14ac:dyDescent="0.25">
      <c r="A1">
        <v>1</v>
      </c>
      <c r="J1">
        <v>3</v>
      </c>
      <c r="S1">
        <v>5</v>
      </c>
      <c r="AB1">
        <v>7</v>
      </c>
      <c r="AI1">
        <v>10</v>
      </c>
    </row>
    <row r="2" spans="1:37" x14ac:dyDescent="0.25">
      <c r="A2" s="15" t="s">
        <v>67</v>
      </c>
      <c r="B2" t="s">
        <v>80</v>
      </c>
      <c r="J2" s="15" t="s">
        <v>7</v>
      </c>
      <c r="K2" t="s">
        <v>80</v>
      </c>
      <c r="S2" s="15" t="s">
        <v>82</v>
      </c>
      <c r="T2" t="s">
        <v>80</v>
      </c>
      <c r="AB2" s="15" t="s">
        <v>9</v>
      </c>
      <c r="AC2" t="s">
        <v>80</v>
      </c>
      <c r="AI2" s="34"/>
      <c r="AJ2" s="35"/>
      <c r="AK2" s="36"/>
    </row>
    <row r="3" spans="1:37" x14ac:dyDescent="0.25">
      <c r="A3" s="20" t="s">
        <v>68</v>
      </c>
      <c r="B3" s="42">
        <v>53</v>
      </c>
      <c r="J3" s="20" t="s">
        <v>17</v>
      </c>
      <c r="K3" s="42">
        <v>52</v>
      </c>
      <c r="S3" s="20" t="s">
        <v>52</v>
      </c>
      <c r="T3" s="42">
        <v>68</v>
      </c>
      <c r="AB3" s="20" t="s">
        <v>26</v>
      </c>
      <c r="AC3" s="42">
        <v>178</v>
      </c>
      <c r="AI3" s="37"/>
      <c r="AJ3" s="11"/>
      <c r="AK3" s="38"/>
    </row>
    <row r="4" spans="1:37" x14ac:dyDescent="0.25">
      <c r="A4" s="20" t="s">
        <v>69</v>
      </c>
      <c r="B4" s="42">
        <v>55</v>
      </c>
      <c r="J4" s="20" t="s">
        <v>45</v>
      </c>
      <c r="K4" s="42">
        <v>54</v>
      </c>
      <c r="S4" s="20" t="s">
        <v>31</v>
      </c>
      <c r="T4" s="42">
        <v>63</v>
      </c>
      <c r="AB4" s="20" t="s">
        <v>46</v>
      </c>
      <c r="AC4" s="42">
        <v>176</v>
      </c>
      <c r="AI4" s="37"/>
      <c r="AJ4" s="11"/>
      <c r="AK4" s="38"/>
    </row>
    <row r="5" spans="1:37" x14ac:dyDescent="0.25">
      <c r="A5" s="20" t="s">
        <v>70</v>
      </c>
      <c r="B5" s="42">
        <v>40</v>
      </c>
      <c r="J5" s="20" t="s">
        <v>24</v>
      </c>
      <c r="K5" s="42">
        <v>54</v>
      </c>
      <c r="S5" s="20" t="s">
        <v>50</v>
      </c>
      <c r="T5" s="42">
        <v>62</v>
      </c>
      <c r="AB5" s="20" t="s">
        <v>19</v>
      </c>
      <c r="AC5" s="42">
        <v>160</v>
      </c>
      <c r="AI5" s="37"/>
      <c r="AJ5" s="11"/>
      <c r="AK5" s="38"/>
    </row>
    <row r="6" spans="1:37" x14ac:dyDescent="0.25">
      <c r="A6" s="20" t="s">
        <v>71</v>
      </c>
      <c r="B6" s="42">
        <v>56</v>
      </c>
      <c r="J6" s="20" t="s">
        <v>55</v>
      </c>
      <c r="K6" s="42">
        <v>56</v>
      </c>
      <c r="S6" s="20" t="s">
        <v>20</v>
      </c>
      <c r="T6" s="42">
        <v>60</v>
      </c>
      <c r="AB6" s="20" t="s">
        <v>66</v>
      </c>
      <c r="AC6" s="42">
        <v>514</v>
      </c>
      <c r="AI6" s="37"/>
      <c r="AJ6" s="11"/>
      <c r="AK6" s="38"/>
    </row>
    <row r="7" spans="1:37" x14ac:dyDescent="0.25">
      <c r="A7" s="20" t="s">
        <v>72</v>
      </c>
      <c r="B7" s="42">
        <v>54</v>
      </c>
      <c r="J7" s="20" t="s">
        <v>37</v>
      </c>
      <c r="K7" s="42">
        <v>56</v>
      </c>
      <c r="S7" s="20" t="s">
        <v>40</v>
      </c>
      <c r="T7" s="42">
        <v>57</v>
      </c>
      <c r="AI7" s="37"/>
      <c r="AJ7" s="11"/>
      <c r="AK7" s="38"/>
    </row>
    <row r="8" spans="1:37" x14ac:dyDescent="0.25">
      <c r="A8" s="20" t="s">
        <v>73</v>
      </c>
      <c r="B8" s="42">
        <v>53</v>
      </c>
      <c r="J8" s="20" t="s">
        <v>30</v>
      </c>
      <c r="K8" s="42">
        <v>58</v>
      </c>
      <c r="M8" s="21"/>
      <c r="S8" s="20" t="s">
        <v>54</v>
      </c>
      <c r="T8" s="42">
        <v>56</v>
      </c>
      <c r="AI8" s="37"/>
      <c r="AJ8" s="11"/>
      <c r="AK8" s="38"/>
    </row>
    <row r="9" spans="1:37" x14ac:dyDescent="0.25">
      <c r="A9" s="20" t="s">
        <v>74</v>
      </c>
      <c r="B9" s="42">
        <v>35</v>
      </c>
      <c r="J9" s="20" t="s">
        <v>49</v>
      </c>
      <c r="K9" s="42">
        <v>59</v>
      </c>
      <c r="S9" s="20" t="s">
        <v>59</v>
      </c>
      <c r="T9" s="42">
        <v>55</v>
      </c>
      <c r="AI9" s="37"/>
      <c r="AJ9" s="11"/>
      <c r="AK9" s="38"/>
    </row>
    <row r="10" spans="1:37" x14ac:dyDescent="0.25">
      <c r="A10" s="20" t="s">
        <v>75</v>
      </c>
      <c r="B10" s="42">
        <v>40</v>
      </c>
      <c r="J10" s="20" t="s">
        <v>60</v>
      </c>
      <c r="K10" s="42">
        <v>61</v>
      </c>
      <c r="S10" s="20" t="s">
        <v>27</v>
      </c>
      <c r="T10" s="42">
        <v>50</v>
      </c>
      <c r="AI10" s="37"/>
      <c r="AJ10" s="11"/>
      <c r="AK10" s="38"/>
    </row>
    <row r="11" spans="1:37" x14ac:dyDescent="0.25">
      <c r="A11" s="20" t="s">
        <v>76</v>
      </c>
      <c r="B11" s="42">
        <v>26</v>
      </c>
      <c r="J11" s="20" t="s">
        <v>57</v>
      </c>
      <c r="K11" s="42">
        <v>64</v>
      </c>
      <c r="S11" s="20" t="s">
        <v>43</v>
      </c>
      <c r="T11" s="42">
        <v>43</v>
      </c>
      <c r="AB11">
        <v>8</v>
      </c>
      <c r="AI11" s="37"/>
      <c r="AJ11" s="11"/>
      <c r="AK11" s="38"/>
    </row>
    <row r="12" spans="1:37" x14ac:dyDescent="0.25">
      <c r="A12" s="20" t="s">
        <v>77</v>
      </c>
      <c r="B12" s="42">
        <v>35</v>
      </c>
      <c r="J12" s="20" t="s">
        <v>66</v>
      </c>
      <c r="K12" s="42">
        <v>514</v>
      </c>
      <c r="S12" s="20" t="s">
        <v>66</v>
      </c>
      <c r="T12" s="42">
        <v>514</v>
      </c>
      <c r="AB12" s="15" t="s">
        <v>85</v>
      </c>
      <c r="AC12" t="s">
        <v>80</v>
      </c>
      <c r="AI12" s="37"/>
      <c r="AJ12" s="11"/>
      <c r="AK12" s="38"/>
    </row>
    <row r="13" spans="1:37" x14ac:dyDescent="0.25">
      <c r="A13" s="20" t="s">
        <v>78</v>
      </c>
      <c r="B13" s="42">
        <v>32</v>
      </c>
      <c r="AB13" s="20" t="s">
        <v>42</v>
      </c>
      <c r="AC13" s="42">
        <v>21</v>
      </c>
      <c r="AI13" s="37"/>
      <c r="AJ13" s="11"/>
      <c r="AK13" s="38"/>
    </row>
    <row r="14" spans="1:37" x14ac:dyDescent="0.25">
      <c r="A14" s="20" t="s">
        <v>79</v>
      </c>
      <c r="B14" s="42">
        <v>35</v>
      </c>
      <c r="AB14" s="20" t="s">
        <v>47</v>
      </c>
      <c r="AC14" s="42">
        <v>141</v>
      </c>
      <c r="AI14" s="37"/>
      <c r="AJ14" s="11"/>
      <c r="AK14" s="38"/>
    </row>
    <row r="15" spans="1:37" x14ac:dyDescent="0.25">
      <c r="A15" s="20" t="s">
        <v>66</v>
      </c>
      <c r="B15" s="42">
        <v>514</v>
      </c>
      <c r="AB15" s="20" t="s">
        <v>15</v>
      </c>
      <c r="AC15" s="42">
        <v>141</v>
      </c>
      <c r="AI15" s="37"/>
      <c r="AJ15" s="11"/>
      <c r="AK15" s="38"/>
    </row>
    <row r="16" spans="1:37" x14ac:dyDescent="0.25">
      <c r="AB16" s="20" t="s">
        <v>34</v>
      </c>
      <c r="AC16" s="42">
        <v>141</v>
      </c>
      <c r="AI16" s="37"/>
      <c r="AJ16" s="11"/>
      <c r="AK16" s="38"/>
    </row>
    <row r="17" spans="1:46" x14ac:dyDescent="0.25">
      <c r="A17">
        <v>2</v>
      </c>
      <c r="J17">
        <v>4</v>
      </c>
      <c r="AB17" s="20" t="s">
        <v>22</v>
      </c>
      <c r="AC17" s="42">
        <v>70</v>
      </c>
      <c r="AI17" s="37"/>
      <c r="AJ17" s="11"/>
      <c r="AK17" s="38"/>
    </row>
    <row r="18" spans="1:46" x14ac:dyDescent="0.25">
      <c r="A18" s="15" t="s">
        <v>67</v>
      </c>
      <c r="B18" t="s">
        <v>81</v>
      </c>
      <c r="J18" s="15" t="s">
        <v>7</v>
      </c>
      <c r="K18" t="s">
        <v>81</v>
      </c>
      <c r="S18">
        <v>6</v>
      </c>
      <c r="AB18" s="20" t="s">
        <v>66</v>
      </c>
      <c r="AC18" s="42">
        <v>514</v>
      </c>
      <c r="AI18" s="37"/>
      <c r="AJ18" s="11"/>
      <c r="AK18" s="38"/>
    </row>
    <row r="19" spans="1:46" x14ac:dyDescent="0.25">
      <c r="A19" s="20" t="s">
        <v>68</v>
      </c>
      <c r="B19" s="42">
        <v>63033</v>
      </c>
      <c r="J19" s="20" t="s">
        <v>45</v>
      </c>
      <c r="K19" s="42">
        <v>64363</v>
      </c>
      <c r="S19" s="15" t="s">
        <v>5</v>
      </c>
      <c r="T19" t="s">
        <v>83</v>
      </c>
      <c r="AI19" s="39"/>
      <c r="AJ19" s="40"/>
      <c r="AK19" s="41"/>
    </row>
    <row r="20" spans="1:46" x14ac:dyDescent="0.25">
      <c r="A20" s="20" t="s">
        <v>69</v>
      </c>
      <c r="B20" s="42">
        <v>81133</v>
      </c>
      <c r="J20" s="20" t="s">
        <v>37</v>
      </c>
      <c r="K20" s="42">
        <v>67615</v>
      </c>
      <c r="S20" s="20" t="s">
        <v>16</v>
      </c>
      <c r="T20" s="23">
        <v>0.12645914396887159</v>
      </c>
    </row>
    <row r="21" spans="1:46" x14ac:dyDescent="0.25">
      <c r="A21" s="20" t="s">
        <v>70</v>
      </c>
      <c r="B21" s="42">
        <v>63428</v>
      </c>
      <c r="J21" s="20" t="s">
        <v>24</v>
      </c>
      <c r="K21" s="42">
        <v>70710</v>
      </c>
      <c r="S21" s="20" t="s">
        <v>38</v>
      </c>
      <c r="T21" s="23">
        <v>9.1439688715953302E-2</v>
      </c>
    </row>
    <row r="22" spans="1:46" x14ac:dyDescent="0.25">
      <c r="A22" s="20" t="s">
        <v>71</v>
      </c>
      <c r="B22" s="42">
        <v>84766</v>
      </c>
      <c r="J22" s="20" t="s">
        <v>17</v>
      </c>
      <c r="K22" s="42">
        <v>73965</v>
      </c>
      <c r="S22" s="20" t="s">
        <v>29</v>
      </c>
      <c r="T22" s="23">
        <v>0.11284046692607004</v>
      </c>
    </row>
    <row r="23" spans="1:46" x14ac:dyDescent="0.25">
      <c r="A23" s="20" t="s">
        <v>72</v>
      </c>
      <c r="B23" s="42">
        <v>58728</v>
      </c>
      <c r="J23" s="20" t="s">
        <v>60</v>
      </c>
      <c r="K23" s="42">
        <v>80902</v>
      </c>
      <c r="S23" s="20" t="s">
        <v>62</v>
      </c>
      <c r="T23" s="23">
        <v>0.10700389105058365</v>
      </c>
      <c r="AB23">
        <v>9</v>
      </c>
    </row>
    <row r="24" spans="1:46" x14ac:dyDescent="0.25">
      <c r="A24" s="20" t="s">
        <v>73</v>
      </c>
      <c r="B24" s="42">
        <v>64087</v>
      </c>
      <c r="J24" s="20" t="s">
        <v>55</v>
      </c>
      <c r="K24" s="42">
        <v>83352</v>
      </c>
      <c r="S24" s="20" t="s">
        <v>48</v>
      </c>
      <c r="T24" s="23">
        <v>0.122568093385214</v>
      </c>
      <c r="AB24" s="15" t="s">
        <v>7</v>
      </c>
      <c r="AC24" t="s">
        <v>84</v>
      </c>
      <c r="AJ24" s="15" t="s">
        <v>91</v>
      </c>
      <c r="AK24" s="15" t="s">
        <v>92</v>
      </c>
    </row>
    <row r="25" spans="1:46" x14ac:dyDescent="0.25">
      <c r="A25" s="20" t="s">
        <v>74</v>
      </c>
      <c r="B25" s="42">
        <v>69669</v>
      </c>
      <c r="J25" s="20" t="s">
        <v>57</v>
      </c>
      <c r="K25" s="42">
        <v>86376</v>
      </c>
      <c r="S25" s="20" t="s">
        <v>35</v>
      </c>
      <c r="T25" s="23">
        <v>0.10700389105058365</v>
      </c>
      <c r="AB25" s="20" t="s">
        <v>55</v>
      </c>
      <c r="AC25" s="42">
        <v>56.5</v>
      </c>
      <c r="AJ25" s="15" t="s">
        <v>7</v>
      </c>
      <c r="AK25" t="s">
        <v>31</v>
      </c>
      <c r="AL25" t="s">
        <v>27</v>
      </c>
      <c r="AM25" t="s">
        <v>54</v>
      </c>
      <c r="AN25" t="s">
        <v>50</v>
      </c>
      <c r="AO25" t="s">
        <v>59</v>
      </c>
      <c r="AP25" t="s">
        <v>20</v>
      </c>
      <c r="AQ25" t="s">
        <v>43</v>
      </c>
      <c r="AR25" t="s">
        <v>40</v>
      </c>
      <c r="AS25" t="s">
        <v>52</v>
      </c>
      <c r="AT25" t="s">
        <v>66</v>
      </c>
    </row>
    <row r="26" spans="1:46" x14ac:dyDescent="0.25">
      <c r="A26" s="20" t="s">
        <v>75</v>
      </c>
      <c r="B26" s="42">
        <v>44947</v>
      </c>
      <c r="J26" s="20" t="s">
        <v>30</v>
      </c>
      <c r="K26" s="42">
        <v>87548</v>
      </c>
      <c r="S26" s="20" t="s">
        <v>36</v>
      </c>
      <c r="T26" s="23">
        <v>0.11478599221789883</v>
      </c>
      <c r="AB26" s="20" t="s">
        <v>17</v>
      </c>
      <c r="AC26" s="42">
        <v>46</v>
      </c>
      <c r="AJ26" s="20" t="s">
        <v>17</v>
      </c>
      <c r="AK26" s="42">
        <v>1787</v>
      </c>
      <c r="AL26" s="42">
        <v>1591</v>
      </c>
      <c r="AM26" s="42">
        <v>902</v>
      </c>
      <c r="AN26" s="42">
        <v>595</v>
      </c>
      <c r="AO26" s="42">
        <v>1521</v>
      </c>
      <c r="AP26" s="42">
        <v>2333</v>
      </c>
      <c r="AQ26" s="42">
        <v>2149</v>
      </c>
      <c r="AR26" s="42">
        <v>562</v>
      </c>
      <c r="AS26" s="42">
        <v>1808</v>
      </c>
      <c r="AT26" s="42">
        <v>13248</v>
      </c>
    </row>
    <row r="27" spans="1:46" x14ac:dyDescent="0.25">
      <c r="A27" s="20" t="s">
        <v>76</v>
      </c>
      <c r="B27" s="42">
        <v>35339</v>
      </c>
      <c r="J27" s="20" t="s">
        <v>49</v>
      </c>
      <c r="K27" s="42">
        <v>102964</v>
      </c>
      <c r="S27" s="20" t="s">
        <v>63</v>
      </c>
      <c r="T27" s="23">
        <v>0.12062256809338522</v>
      </c>
      <c r="AB27" s="20" t="s">
        <v>37</v>
      </c>
      <c r="AC27" s="42">
        <v>44.5</v>
      </c>
      <c r="AJ27" s="20" t="s">
        <v>60</v>
      </c>
      <c r="AK27" s="42">
        <v>1349</v>
      </c>
      <c r="AL27" s="42">
        <v>734</v>
      </c>
      <c r="AM27" s="42">
        <v>1868</v>
      </c>
      <c r="AN27" s="42">
        <v>2003</v>
      </c>
      <c r="AO27" s="42">
        <v>696</v>
      </c>
      <c r="AP27" s="42">
        <v>1605</v>
      </c>
      <c r="AQ27" s="42">
        <v>750</v>
      </c>
      <c r="AR27" s="42">
        <v>3362</v>
      </c>
      <c r="AS27" s="42">
        <v>2494</v>
      </c>
      <c r="AT27" s="42">
        <v>14861</v>
      </c>
    </row>
    <row r="28" spans="1:46" x14ac:dyDescent="0.25">
      <c r="A28" s="20" t="s">
        <v>77</v>
      </c>
      <c r="B28" s="42">
        <v>45447</v>
      </c>
      <c r="J28" s="20" t="s">
        <v>66</v>
      </c>
      <c r="K28" s="42">
        <v>717795</v>
      </c>
      <c r="S28" s="20" t="s">
        <v>23</v>
      </c>
      <c r="T28" s="23">
        <v>9.727626459143969E-2</v>
      </c>
      <c r="AB28" s="20" t="s">
        <v>57</v>
      </c>
      <c r="AC28" s="42">
        <v>43.5</v>
      </c>
      <c r="AJ28" s="20" t="s">
        <v>30</v>
      </c>
      <c r="AK28" s="42">
        <v>1378</v>
      </c>
      <c r="AL28" s="42">
        <v>797</v>
      </c>
      <c r="AM28" s="42">
        <v>2011</v>
      </c>
      <c r="AN28" s="42">
        <v>1942</v>
      </c>
      <c r="AO28" s="42">
        <v>1055</v>
      </c>
      <c r="AP28" s="42">
        <v>1548</v>
      </c>
      <c r="AQ28" s="42">
        <v>1186</v>
      </c>
      <c r="AR28" s="42">
        <v>2889</v>
      </c>
      <c r="AS28" s="42">
        <v>2911</v>
      </c>
      <c r="AT28" s="42">
        <v>15717</v>
      </c>
    </row>
    <row r="29" spans="1:46" x14ac:dyDescent="0.25">
      <c r="A29" s="20" t="s">
        <v>78</v>
      </c>
      <c r="B29" s="42">
        <v>50504</v>
      </c>
      <c r="S29" s="20" t="s">
        <v>66</v>
      </c>
      <c r="T29" s="23">
        <v>1</v>
      </c>
      <c r="AB29" s="20" t="s">
        <v>49</v>
      </c>
      <c r="AC29" s="42">
        <v>43.5</v>
      </c>
      <c r="AJ29" s="20" t="s">
        <v>45</v>
      </c>
      <c r="AK29" s="42">
        <v>2030</v>
      </c>
      <c r="AL29" s="42">
        <v>981</v>
      </c>
      <c r="AM29" s="42">
        <v>1088</v>
      </c>
      <c r="AN29" s="42">
        <v>1362</v>
      </c>
      <c r="AO29" s="42">
        <v>2053</v>
      </c>
      <c r="AP29" s="42">
        <v>1859</v>
      </c>
      <c r="AQ29" s="42">
        <v>2256</v>
      </c>
      <c r="AR29" s="42">
        <v>861</v>
      </c>
      <c r="AS29" s="42">
        <v>1591</v>
      </c>
      <c r="AT29" s="42">
        <v>14081</v>
      </c>
    </row>
    <row r="30" spans="1:46" x14ac:dyDescent="0.25">
      <c r="A30" s="20" t="s">
        <v>79</v>
      </c>
      <c r="B30" s="42">
        <v>56714</v>
      </c>
      <c r="AB30" s="20" t="s">
        <v>30</v>
      </c>
      <c r="AC30" s="42">
        <v>38.5</v>
      </c>
      <c r="AJ30" s="20" t="s">
        <v>55</v>
      </c>
      <c r="AK30" s="42">
        <v>2012</v>
      </c>
      <c r="AL30" s="42">
        <v>1625</v>
      </c>
      <c r="AM30" s="42">
        <v>2358</v>
      </c>
      <c r="AN30" s="42">
        <v>1952</v>
      </c>
      <c r="AO30" s="42">
        <v>2292</v>
      </c>
      <c r="AP30" s="42">
        <v>2684</v>
      </c>
      <c r="AQ30" s="42">
        <v>1084</v>
      </c>
      <c r="AR30" s="42">
        <v>940</v>
      </c>
      <c r="AS30" s="42">
        <v>1101</v>
      </c>
      <c r="AT30" s="42">
        <v>16048</v>
      </c>
    </row>
    <row r="31" spans="1:46" x14ac:dyDescent="0.25">
      <c r="A31" s="20" t="s">
        <v>66</v>
      </c>
      <c r="B31" s="42">
        <v>717795</v>
      </c>
      <c r="AB31" s="20" t="s">
        <v>45</v>
      </c>
      <c r="AC31" s="42">
        <v>38.5</v>
      </c>
      <c r="AJ31" s="20" t="s">
        <v>49</v>
      </c>
      <c r="AK31" s="42">
        <v>2848</v>
      </c>
      <c r="AL31" s="42">
        <v>1274</v>
      </c>
      <c r="AM31" s="42">
        <v>1649</v>
      </c>
      <c r="AN31" s="42">
        <v>2601</v>
      </c>
      <c r="AO31" s="42">
        <v>2254</v>
      </c>
      <c r="AP31" s="42">
        <v>1372</v>
      </c>
      <c r="AQ31" s="42">
        <v>1779</v>
      </c>
      <c r="AR31" s="42">
        <v>1040</v>
      </c>
      <c r="AS31" s="42">
        <v>1625</v>
      </c>
      <c r="AT31" s="42">
        <v>16442</v>
      </c>
    </row>
    <row r="32" spans="1:46" x14ac:dyDescent="0.25">
      <c r="AB32" s="20" t="s">
        <v>24</v>
      </c>
      <c r="AC32" s="42">
        <v>36.5</v>
      </c>
      <c r="AJ32" s="20" t="s">
        <v>57</v>
      </c>
      <c r="AK32" s="42">
        <v>1601</v>
      </c>
      <c r="AL32" s="42">
        <v>1158</v>
      </c>
      <c r="AM32" s="42">
        <v>1672</v>
      </c>
      <c r="AN32" s="42">
        <v>1238</v>
      </c>
      <c r="AO32" s="42">
        <v>2546</v>
      </c>
      <c r="AP32" s="42">
        <v>2034</v>
      </c>
      <c r="AQ32" s="42">
        <v>790</v>
      </c>
      <c r="AR32" s="42">
        <v>2580</v>
      </c>
      <c r="AS32" s="42">
        <v>1845</v>
      </c>
      <c r="AT32" s="42">
        <v>15464</v>
      </c>
    </row>
    <row r="33" spans="1:46" x14ac:dyDescent="0.25">
      <c r="AB33" s="20" t="s">
        <v>60</v>
      </c>
      <c r="AC33" s="42">
        <v>31</v>
      </c>
      <c r="AJ33" s="20" t="s">
        <v>24</v>
      </c>
      <c r="AK33" s="42">
        <v>1314</v>
      </c>
      <c r="AL33" s="42">
        <v>1676</v>
      </c>
      <c r="AM33" s="42">
        <v>1939</v>
      </c>
      <c r="AN33" s="42">
        <v>1169</v>
      </c>
      <c r="AO33" s="42">
        <v>1077</v>
      </c>
      <c r="AP33" s="42">
        <v>2022</v>
      </c>
      <c r="AQ33" s="42">
        <v>820</v>
      </c>
      <c r="AR33" s="42">
        <v>2406</v>
      </c>
      <c r="AS33" s="42">
        <v>1271</v>
      </c>
      <c r="AT33" s="42">
        <v>13694</v>
      </c>
    </row>
    <row r="34" spans="1:46" x14ac:dyDescent="0.25">
      <c r="A34" t="s">
        <v>93</v>
      </c>
      <c r="AB34" s="20" t="s">
        <v>66</v>
      </c>
      <c r="AC34" s="42">
        <v>378.5</v>
      </c>
      <c r="AJ34" s="20" t="s">
        <v>37</v>
      </c>
      <c r="AK34" s="42">
        <v>712</v>
      </c>
      <c r="AL34" s="42">
        <v>1842</v>
      </c>
      <c r="AM34" s="42">
        <v>332</v>
      </c>
      <c r="AN34" s="42">
        <v>1539</v>
      </c>
      <c r="AO34" s="42">
        <v>1451</v>
      </c>
      <c r="AP34" s="42">
        <v>856</v>
      </c>
      <c r="AQ34" s="42">
        <v>1853</v>
      </c>
      <c r="AR34" s="42">
        <v>1504</v>
      </c>
      <c r="AS34" s="42">
        <v>2711</v>
      </c>
      <c r="AT34" s="42">
        <v>12800</v>
      </c>
    </row>
    <row r="35" spans="1:46" x14ac:dyDescent="0.25">
      <c r="A35" s="42">
        <v>514</v>
      </c>
      <c r="AJ35" s="20" t="s">
        <v>66</v>
      </c>
      <c r="AK35" s="42">
        <v>15031</v>
      </c>
      <c r="AL35" s="42">
        <v>11678</v>
      </c>
      <c r="AM35" s="42">
        <v>13819</v>
      </c>
      <c r="AN35" s="42">
        <v>14401</v>
      </c>
      <c r="AO35" s="42">
        <v>14945</v>
      </c>
      <c r="AP35" s="42">
        <v>16313</v>
      </c>
      <c r="AQ35" s="42">
        <v>12667</v>
      </c>
      <c r="AR35" s="42">
        <v>16144</v>
      </c>
      <c r="AS35" s="42">
        <v>17357</v>
      </c>
      <c r="AT35" s="42">
        <v>132355</v>
      </c>
    </row>
    <row r="37" spans="1:46" x14ac:dyDescent="0.25">
      <c r="A37" t="s">
        <v>94</v>
      </c>
    </row>
    <row r="38" spans="1:46" x14ac:dyDescent="0.25">
      <c r="A38" s="42">
        <v>717795</v>
      </c>
    </row>
    <row r="40" spans="1:46" x14ac:dyDescent="0.25">
      <c r="A40" t="s">
        <v>94</v>
      </c>
      <c r="B40" t="s">
        <v>93</v>
      </c>
    </row>
    <row r="41" spans="1:46" x14ac:dyDescent="0.25">
      <c r="A41" s="42">
        <v>717795</v>
      </c>
      <c r="B41" s="42">
        <v>514</v>
      </c>
    </row>
    <row r="43" spans="1:46" x14ac:dyDescent="0.25">
      <c r="B43" s="29">
        <f>GETPIVOTDATA("Sum of Incident Cost",$A$40)/GETPIVOTDATA("Count of S.No",$A$40)</f>
        <v>1396.488326848249</v>
      </c>
    </row>
    <row r="45" spans="1:46" x14ac:dyDescent="0.25">
      <c r="A45" s="15" t="s">
        <v>95</v>
      </c>
      <c r="B45" t="s">
        <v>93</v>
      </c>
    </row>
    <row r="46" spans="1:46" x14ac:dyDescent="0.25">
      <c r="A46" s="20" t="s">
        <v>39</v>
      </c>
      <c r="B46" s="42">
        <v>114</v>
      </c>
    </row>
    <row r="47" spans="1:46" x14ac:dyDescent="0.25">
      <c r="A47" s="20" t="s">
        <v>25</v>
      </c>
      <c r="B47" s="42">
        <v>133</v>
      </c>
    </row>
    <row r="48" spans="1:46" x14ac:dyDescent="0.25">
      <c r="A48" s="20" t="s">
        <v>53</v>
      </c>
      <c r="B48" s="42">
        <v>128</v>
      </c>
    </row>
    <row r="49" spans="1:2" x14ac:dyDescent="0.25">
      <c r="A49" s="20" t="s">
        <v>18</v>
      </c>
      <c r="B49" s="42">
        <v>139</v>
      </c>
    </row>
    <row r="50" spans="1:2" x14ac:dyDescent="0.25">
      <c r="A50" s="20" t="s">
        <v>66</v>
      </c>
      <c r="B50" s="42">
        <v>514</v>
      </c>
    </row>
  </sheetData>
  <pageMargins left="0.7" right="0.7" top="0.75" bottom="0.75" header="0.3" footer="0.3"/>
  <pageSetup orientation="portrait"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20"/>
  <sheetViews>
    <sheetView showGridLines="0" workbookViewId="0">
      <selection activeCell="H22" sqref="H22"/>
    </sheetView>
  </sheetViews>
  <sheetFormatPr defaultRowHeight="15" x14ac:dyDescent="0.25"/>
  <cols>
    <col min="5" max="5" width="9.28515625" customWidth="1"/>
    <col min="9" max="9" width="13.140625" bestFit="1" customWidth="1"/>
  </cols>
  <sheetData>
    <row r="2" spans="1:9" x14ac:dyDescent="0.25">
      <c r="I2" s="15" t="s">
        <v>95</v>
      </c>
    </row>
    <row r="3" spans="1:9" x14ac:dyDescent="0.25">
      <c r="A3" s="34"/>
      <c r="B3" s="35"/>
      <c r="C3" s="36"/>
      <c r="I3" s="20" t="s">
        <v>17</v>
      </c>
    </row>
    <row r="4" spans="1:9" x14ac:dyDescent="0.25">
      <c r="A4" s="37"/>
      <c r="B4" s="11"/>
      <c r="C4" s="38"/>
      <c r="I4" s="20" t="s">
        <v>60</v>
      </c>
    </row>
    <row r="5" spans="1:9" x14ac:dyDescent="0.25">
      <c r="A5" s="37"/>
      <c r="B5" s="11"/>
      <c r="C5" s="38"/>
      <c r="I5" s="20" t="s">
        <v>30</v>
      </c>
    </row>
    <row r="6" spans="1:9" x14ac:dyDescent="0.25">
      <c r="A6" s="37"/>
      <c r="B6" s="11"/>
      <c r="C6" s="38"/>
      <c r="I6" s="20" t="s">
        <v>45</v>
      </c>
    </row>
    <row r="7" spans="1:9" x14ac:dyDescent="0.25">
      <c r="A7" s="37"/>
      <c r="B7" s="11"/>
      <c r="C7" s="38"/>
      <c r="I7" s="20" t="s">
        <v>55</v>
      </c>
    </row>
    <row r="8" spans="1:9" x14ac:dyDescent="0.25">
      <c r="A8" s="37"/>
      <c r="B8" s="11"/>
      <c r="C8" s="38"/>
      <c r="I8" s="20" t="s">
        <v>49</v>
      </c>
    </row>
    <row r="9" spans="1:9" x14ac:dyDescent="0.25">
      <c r="A9" s="37"/>
      <c r="B9" s="11"/>
      <c r="C9" s="38"/>
      <c r="I9" s="20" t="s">
        <v>57</v>
      </c>
    </row>
    <row r="10" spans="1:9" x14ac:dyDescent="0.25">
      <c r="A10" s="37"/>
      <c r="B10" s="11"/>
      <c r="C10" s="38"/>
      <c r="I10" s="20" t="s">
        <v>24</v>
      </c>
    </row>
    <row r="11" spans="1:9" x14ac:dyDescent="0.25">
      <c r="A11" s="37"/>
      <c r="B11" s="11"/>
      <c r="C11" s="38"/>
      <c r="I11" s="20" t="s">
        <v>37</v>
      </c>
    </row>
    <row r="12" spans="1:9" x14ac:dyDescent="0.25">
      <c r="A12" s="37"/>
      <c r="B12" s="11"/>
      <c r="C12" s="38"/>
      <c r="I12" s="20" t="s">
        <v>66</v>
      </c>
    </row>
    <row r="13" spans="1:9" x14ac:dyDescent="0.25">
      <c r="A13" s="37"/>
      <c r="B13" s="11"/>
      <c r="C13" s="38"/>
    </row>
    <row r="14" spans="1:9" x14ac:dyDescent="0.25">
      <c r="A14" s="37"/>
      <c r="B14" s="11"/>
      <c r="C14" s="38"/>
    </row>
    <row r="15" spans="1:9" x14ac:dyDescent="0.25">
      <c r="A15" s="37"/>
      <c r="B15" s="11"/>
      <c r="C15" s="38"/>
    </row>
    <row r="16" spans="1:9" x14ac:dyDescent="0.25">
      <c r="A16" s="37"/>
      <c r="B16" s="11"/>
      <c r="C16" s="38"/>
    </row>
    <row r="17" spans="1:3" x14ac:dyDescent="0.25">
      <c r="A17" s="37"/>
      <c r="B17" s="11"/>
      <c r="C17" s="38"/>
    </row>
    <row r="18" spans="1:3" x14ac:dyDescent="0.25">
      <c r="A18" s="37"/>
      <c r="B18" s="11"/>
      <c r="C18" s="38"/>
    </row>
    <row r="19" spans="1:3" x14ac:dyDescent="0.25">
      <c r="A19" s="37"/>
      <c r="B19" s="11"/>
      <c r="C19" s="38"/>
    </row>
    <row r="20" spans="1:3" x14ac:dyDescent="0.25">
      <c r="A20" s="39"/>
      <c r="B20" s="40"/>
      <c r="C20" s="4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AA8"/>
  <sheetViews>
    <sheetView showGridLines="0" tabSelected="1" zoomScale="70" zoomScaleNormal="70" workbookViewId="0">
      <selection activeCell="K50" sqref="K50"/>
    </sheetView>
  </sheetViews>
  <sheetFormatPr defaultColWidth="8.85546875" defaultRowHeight="15" x14ac:dyDescent="0.25"/>
  <cols>
    <col min="1" max="1" width="8.85546875" style="22"/>
    <col min="2" max="2" width="8.85546875" style="22" customWidth="1"/>
    <col min="3" max="25" width="8.85546875" style="22"/>
    <col min="26" max="26" width="8.85546875" style="22" customWidth="1"/>
    <col min="27" max="16384" width="8.85546875" style="22"/>
  </cols>
  <sheetData>
    <row r="1" spans="5:27" ht="25.9" customHeight="1" x14ac:dyDescent="0.25">
      <c r="E1" s="32"/>
      <c r="F1" s="32"/>
      <c r="G1" s="32"/>
      <c r="H1" s="32"/>
      <c r="I1" s="32"/>
      <c r="J1" s="32"/>
      <c r="K1" s="32"/>
      <c r="L1" s="32"/>
      <c r="M1" s="32"/>
      <c r="N1" s="32"/>
      <c r="O1" s="32"/>
      <c r="P1" s="32"/>
      <c r="Q1" s="32"/>
      <c r="R1" s="32"/>
      <c r="S1" s="32"/>
      <c r="T1" s="32"/>
      <c r="U1" s="32"/>
      <c r="V1" s="32"/>
      <c r="W1" s="32"/>
      <c r="X1" s="32"/>
      <c r="Y1" s="32"/>
      <c r="Z1" s="32"/>
    </row>
    <row r="2" spans="5:27" x14ac:dyDescent="0.25">
      <c r="E2" s="32"/>
      <c r="F2" s="32"/>
      <c r="G2" s="32"/>
      <c r="H2" s="32"/>
      <c r="I2" s="32"/>
      <c r="J2" s="32"/>
      <c r="K2" s="32"/>
      <c r="L2" s="32"/>
      <c r="M2" s="32"/>
      <c r="N2" s="32"/>
      <c r="O2" s="32"/>
      <c r="P2" s="32"/>
      <c r="Q2" s="32"/>
      <c r="R2" s="32"/>
      <c r="S2" s="32"/>
      <c r="T2" s="32"/>
      <c r="U2" s="32"/>
      <c r="V2" s="32"/>
      <c r="W2" s="32"/>
      <c r="X2" s="32"/>
      <c r="Y2" s="32"/>
      <c r="Z2" s="32"/>
    </row>
    <row r="3" spans="5:27" ht="21" x14ac:dyDescent="0.35">
      <c r="E3" s="33"/>
      <c r="F3" s="33"/>
      <c r="G3" s="33"/>
      <c r="H3" s="33"/>
      <c r="I3" s="33"/>
      <c r="J3" s="33"/>
      <c r="K3" s="33"/>
      <c r="L3" s="33"/>
      <c r="M3" s="33"/>
      <c r="N3" s="33"/>
      <c r="O3" s="33"/>
      <c r="P3" s="33"/>
      <c r="Q3" s="33"/>
      <c r="R3" s="33"/>
      <c r="S3" s="33"/>
      <c r="T3" s="33"/>
      <c r="U3" s="33"/>
      <c r="V3" s="33"/>
      <c r="W3" s="33"/>
      <c r="X3" s="33"/>
      <c r="Y3" s="33"/>
      <c r="Z3" s="33"/>
      <c r="AA3" s="33"/>
    </row>
    <row r="4" spans="5:27" ht="21" x14ac:dyDescent="0.35">
      <c r="E4" s="31"/>
      <c r="F4" s="31"/>
      <c r="G4" s="31"/>
      <c r="H4" s="31"/>
      <c r="I4" s="31"/>
      <c r="J4" s="31"/>
      <c r="K4" s="31"/>
      <c r="L4" s="31"/>
      <c r="M4" s="31"/>
      <c r="N4" s="31"/>
      <c r="O4" s="31"/>
      <c r="P4" s="31"/>
      <c r="Q4" s="31"/>
      <c r="R4" s="31"/>
      <c r="S4" s="31"/>
      <c r="T4" s="31"/>
      <c r="U4" s="31"/>
      <c r="V4" s="31"/>
      <c r="W4" s="31"/>
      <c r="X4" s="31"/>
      <c r="Y4" s="31"/>
      <c r="Z4" s="31"/>
      <c r="AA4" s="31"/>
    </row>
    <row r="6" spans="5:27" x14ac:dyDescent="0.25">
      <c r="AA6" s="22">
        <f>GETPIVOTDATA("S.No",PIVOT!$A$34)</f>
        <v>514</v>
      </c>
    </row>
    <row r="7" spans="5:27" x14ac:dyDescent="0.25">
      <c r="AA7" s="28">
        <f>GETPIVOTDATA("Incident Cost",PIVOT!$A$37)</f>
        <v>717795</v>
      </c>
    </row>
    <row r="8" spans="5:27" x14ac:dyDescent="0.25">
      <c r="AA8" s="30">
        <f>PIVOT!B43</f>
        <v>1396.488326848249</v>
      </c>
    </row>
  </sheetData>
  <mergeCells count="2">
    <mergeCell ref="E1:Z2"/>
    <mergeCell ref="E3: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16"/>
  <sheetViews>
    <sheetView workbookViewId="0">
      <selection activeCell="Q16" sqref="Q16"/>
    </sheetView>
  </sheetViews>
  <sheetFormatPr defaultRowHeight="15" x14ac:dyDescent="0.25"/>
  <cols>
    <col min="1" max="1" width="7.28515625" bestFit="1" customWidth="1"/>
    <col min="2" max="2" width="7.140625" bestFit="1" customWidth="1"/>
    <col min="3" max="3" width="16" bestFit="1" customWidth="1"/>
    <col min="4" max="4" width="9.28515625" bestFit="1" customWidth="1"/>
    <col min="5" max="5" width="6.42578125" bestFit="1" customWidth="1"/>
    <col min="6" max="6" width="14.7109375" bestFit="1" customWidth="1"/>
    <col min="7" max="7" width="11.140625" bestFit="1" customWidth="1"/>
    <col min="8" max="8" width="10.28515625" bestFit="1" customWidth="1"/>
    <col min="9" max="9" width="13.42578125" bestFit="1" customWidth="1"/>
    <col min="10" max="10" width="9.28515625" bestFit="1" customWidth="1"/>
    <col min="11" max="11" width="13.28515625" bestFit="1" customWidth="1"/>
    <col min="12" max="12" width="14.28515625" bestFit="1" customWidth="1"/>
    <col min="13" max="13" width="9" bestFit="1" customWidth="1"/>
    <col min="14" max="14" width="6.85546875" bestFit="1" customWidth="1"/>
  </cols>
  <sheetData>
    <row r="1" spans="1:14" x14ac:dyDescent="0.25">
      <c r="A1" t="s">
        <v>0</v>
      </c>
      <c r="B1" t="s">
        <v>1</v>
      </c>
      <c r="C1" t="s">
        <v>2</v>
      </c>
      <c r="D1" t="s">
        <v>3</v>
      </c>
      <c r="E1" t="s">
        <v>4</v>
      </c>
      <c r="F1" t="s">
        <v>5</v>
      </c>
      <c r="G1" t="s">
        <v>6</v>
      </c>
      <c r="H1" t="s">
        <v>7</v>
      </c>
      <c r="I1" t="s">
        <v>8</v>
      </c>
      <c r="J1" t="s">
        <v>9</v>
      </c>
      <c r="K1" t="s">
        <v>10</v>
      </c>
      <c r="L1" t="s">
        <v>11</v>
      </c>
      <c r="M1" t="s">
        <v>67</v>
      </c>
      <c r="N1" t="s">
        <v>12</v>
      </c>
    </row>
    <row r="2" spans="1:14" x14ac:dyDescent="0.25">
      <c r="A2">
        <v>1</v>
      </c>
      <c r="B2">
        <v>43831</v>
      </c>
      <c r="C2" t="s">
        <v>13</v>
      </c>
      <c r="D2" t="s">
        <v>14</v>
      </c>
      <c r="E2" t="s">
        <v>15</v>
      </c>
      <c r="F2" t="s">
        <v>16</v>
      </c>
      <c r="G2">
        <v>0</v>
      </c>
      <c r="H2" t="s">
        <v>17</v>
      </c>
      <c r="I2" t="s">
        <v>18</v>
      </c>
      <c r="J2" t="s">
        <v>19</v>
      </c>
      <c r="K2" t="s">
        <v>20</v>
      </c>
      <c r="L2">
        <v>0</v>
      </c>
      <c r="M2" t="s">
        <v>68</v>
      </c>
      <c r="N2">
        <v>2020</v>
      </c>
    </row>
    <row r="3" spans="1:14" x14ac:dyDescent="0.25">
      <c r="A3">
        <v>2</v>
      </c>
      <c r="B3">
        <v>43833</v>
      </c>
      <c r="C3" t="s">
        <v>21</v>
      </c>
      <c r="D3" t="s">
        <v>14</v>
      </c>
      <c r="E3" t="s">
        <v>22</v>
      </c>
      <c r="F3" t="s">
        <v>23</v>
      </c>
      <c r="G3">
        <v>0.5</v>
      </c>
      <c r="H3" t="s">
        <v>24</v>
      </c>
      <c r="I3" t="s">
        <v>25</v>
      </c>
      <c r="J3" t="s">
        <v>26</v>
      </c>
      <c r="K3" t="s">
        <v>27</v>
      </c>
      <c r="L3">
        <v>3367</v>
      </c>
      <c r="M3" t="s">
        <v>68</v>
      </c>
      <c r="N3">
        <v>2020</v>
      </c>
    </row>
    <row r="4" spans="1:14" x14ac:dyDescent="0.25">
      <c r="A4">
        <v>3</v>
      </c>
      <c r="B4">
        <v>43833</v>
      </c>
      <c r="C4" t="s">
        <v>28</v>
      </c>
      <c r="D4" t="s">
        <v>14</v>
      </c>
      <c r="E4" t="s">
        <v>15</v>
      </c>
      <c r="F4" t="s">
        <v>29</v>
      </c>
      <c r="G4">
        <v>0</v>
      </c>
      <c r="H4" t="s">
        <v>30</v>
      </c>
      <c r="I4" t="s">
        <v>18</v>
      </c>
      <c r="J4" t="s">
        <v>26</v>
      </c>
      <c r="K4" t="s">
        <v>31</v>
      </c>
      <c r="L4">
        <v>0</v>
      </c>
      <c r="M4" t="s">
        <v>68</v>
      </c>
      <c r="N4">
        <v>2020</v>
      </c>
    </row>
    <row r="5" spans="1:14" x14ac:dyDescent="0.25">
      <c r="A5">
        <v>4</v>
      </c>
      <c r="B5">
        <v>43834</v>
      </c>
      <c r="C5" t="s">
        <v>32</v>
      </c>
      <c r="D5" t="s">
        <v>33</v>
      </c>
      <c r="E5" t="s">
        <v>34</v>
      </c>
      <c r="F5" t="s">
        <v>35</v>
      </c>
      <c r="G5">
        <v>0</v>
      </c>
      <c r="H5" t="s">
        <v>17</v>
      </c>
      <c r="I5" t="s">
        <v>18</v>
      </c>
      <c r="J5" t="s">
        <v>26</v>
      </c>
      <c r="K5" t="s">
        <v>20</v>
      </c>
      <c r="L5">
        <v>0</v>
      </c>
      <c r="M5" t="s">
        <v>68</v>
      </c>
      <c r="N5">
        <v>2020</v>
      </c>
    </row>
    <row r="6" spans="1:14" x14ac:dyDescent="0.25">
      <c r="A6">
        <v>5</v>
      </c>
      <c r="B6">
        <v>43837</v>
      </c>
      <c r="C6" t="s">
        <v>32</v>
      </c>
      <c r="D6" t="s">
        <v>14</v>
      </c>
      <c r="E6" t="s">
        <v>15</v>
      </c>
      <c r="F6" t="s">
        <v>36</v>
      </c>
      <c r="G6">
        <v>0</v>
      </c>
      <c r="H6" t="s">
        <v>37</v>
      </c>
      <c r="I6" t="s">
        <v>18</v>
      </c>
      <c r="J6" t="s">
        <v>26</v>
      </c>
      <c r="K6" t="s">
        <v>20</v>
      </c>
      <c r="L6">
        <v>0</v>
      </c>
      <c r="M6" t="s">
        <v>68</v>
      </c>
      <c r="N6">
        <v>2020</v>
      </c>
    </row>
    <row r="7" spans="1:14" x14ac:dyDescent="0.25">
      <c r="A7">
        <v>6</v>
      </c>
      <c r="B7">
        <v>43841</v>
      </c>
      <c r="C7" t="s">
        <v>21</v>
      </c>
      <c r="D7" t="s">
        <v>33</v>
      </c>
      <c r="E7" t="s">
        <v>34</v>
      </c>
      <c r="F7" t="s">
        <v>38</v>
      </c>
      <c r="G7">
        <v>0</v>
      </c>
      <c r="H7" t="s">
        <v>30</v>
      </c>
      <c r="I7" t="s">
        <v>39</v>
      </c>
      <c r="J7" t="s">
        <v>19</v>
      </c>
      <c r="K7" t="s">
        <v>40</v>
      </c>
      <c r="L7">
        <v>132</v>
      </c>
      <c r="M7" t="s">
        <v>68</v>
      </c>
      <c r="N7">
        <v>2020</v>
      </c>
    </row>
    <row r="8" spans="1:14" x14ac:dyDescent="0.25">
      <c r="A8">
        <v>7</v>
      </c>
      <c r="B8">
        <v>43841</v>
      </c>
      <c r="C8" t="s">
        <v>41</v>
      </c>
      <c r="D8" t="s">
        <v>14</v>
      </c>
      <c r="E8" t="s">
        <v>42</v>
      </c>
      <c r="F8" t="s">
        <v>38</v>
      </c>
      <c r="G8">
        <v>3.5</v>
      </c>
      <c r="H8" t="s">
        <v>17</v>
      </c>
      <c r="I8" t="s">
        <v>25</v>
      </c>
      <c r="J8" t="s">
        <v>26</v>
      </c>
      <c r="K8" t="s">
        <v>43</v>
      </c>
      <c r="L8">
        <v>4872</v>
      </c>
      <c r="M8" t="s">
        <v>68</v>
      </c>
      <c r="N8">
        <v>2020</v>
      </c>
    </row>
    <row r="9" spans="1:14" x14ac:dyDescent="0.25">
      <c r="A9">
        <v>8</v>
      </c>
      <c r="B9">
        <v>43842</v>
      </c>
      <c r="C9" t="s">
        <v>44</v>
      </c>
      <c r="D9" t="s">
        <v>14</v>
      </c>
      <c r="E9" t="s">
        <v>34</v>
      </c>
      <c r="F9" t="s">
        <v>16</v>
      </c>
      <c r="G9">
        <v>1.5</v>
      </c>
      <c r="H9" t="s">
        <v>45</v>
      </c>
      <c r="I9" t="s">
        <v>25</v>
      </c>
      <c r="J9" t="s">
        <v>46</v>
      </c>
      <c r="K9" t="s">
        <v>31</v>
      </c>
      <c r="L9">
        <v>1248</v>
      </c>
      <c r="M9" t="s">
        <v>68</v>
      </c>
      <c r="N9">
        <v>2020</v>
      </c>
    </row>
    <row r="10" spans="1:14" x14ac:dyDescent="0.25">
      <c r="A10">
        <v>9</v>
      </c>
      <c r="B10">
        <v>43845</v>
      </c>
      <c r="C10" t="s">
        <v>21</v>
      </c>
      <c r="D10" t="s">
        <v>14</v>
      </c>
      <c r="E10" t="s">
        <v>47</v>
      </c>
      <c r="F10" t="s">
        <v>48</v>
      </c>
      <c r="G10">
        <v>0</v>
      </c>
      <c r="H10" t="s">
        <v>49</v>
      </c>
      <c r="I10" t="s">
        <v>39</v>
      </c>
      <c r="J10" t="s">
        <v>19</v>
      </c>
      <c r="K10" t="s">
        <v>50</v>
      </c>
      <c r="L10">
        <v>29</v>
      </c>
      <c r="M10" t="s">
        <v>68</v>
      </c>
      <c r="N10">
        <v>2020</v>
      </c>
    </row>
    <row r="11" spans="1:14" x14ac:dyDescent="0.25">
      <c r="A11">
        <v>10</v>
      </c>
      <c r="B11">
        <v>43846</v>
      </c>
      <c r="C11" t="s">
        <v>51</v>
      </c>
      <c r="D11" t="s">
        <v>14</v>
      </c>
      <c r="E11" t="s">
        <v>34</v>
      </c>
      <c r="F11" t="s">
        <v>38</v>
      </c>
      <c r="G11">
        <v>4.5</v>
      </c>
      <c r="H11" t="s">
        <v>49</v>
      </c>
      <c r="I11" t="s">
        <v>25</v>
      </c>
      <c r="J11" t="s">
        <v>19</v>
      </c>
      <c r="K11" t="s">
        <v>31</v>
      </c>
      <c r="L11">
        <v>2525</v>
      </c>
      <c r="M11" t="s">
        <v>68</v>
      </c>
      <c r="N11">
        <v>2020</v>
      </c>
    </row>
    <row r="12" spans="1:14" x14ac:dyDescent="0.25">
      <c r="A12">
        <v>11</v>
      </c>
      <c r="B12">
        <v>43848</v>
      </c>
      <c r="C12" t="s">
        <v>21</v>
      </c>
      <c r="D12" t="s">
        <v>33</v>
      </c>
      <c r="E12" t="s">
        <v>47</v>
      </c>
      <c r="F12" t="s">
        <v>35</v>
      </c>
      <c r="G12">
        <v>0</v>
      </c>
      <c r="H12" t="s">
        <v>17</v>
      </c>
      <c r="I12" t="s">
        <v>39</v>
      </c>
      <c r="J12" t="s">
        <v>46</v>
      </c>
      <c r="K12" t="s">
        <v>52</v>
      </c>
      <c r="L12">
        <v>59</v>
      </c>
      <c r="M12" t="s">
        <v>68</v>
      </c>
      <c r="N12">
        <v>2020</v>
      </c>
    </row>
    <row r="13" spans="1:14" x14ac:dyDescent="0.25">
      <c r="A13">
        <v>12</v>
      </c>
      <c r="B13">
        <v>43853</v>
      </c>
      <c r="C13" t="s">
        <v>41</v>
      </c>
      <c r="D13" t="s">
        <v>14</v>
      </c>
      <c r="E13" t="s">
        <v>34</v>
      </c>
      <c r="F13" t="s">
        <v>38</v>
      </c>
      <c r="G13">
        <v>0</v>
      </c>
      <c r="H13" t="s">
        <v>24</v>
      </c>
      <c r="I13" t="s">
        <v>53</v>
      </c>
      <c r="J13" t="s">
        <v>19</v>
      </c>
      <c r="K13" t="s">
        <v>52</v>
      </c>
      <c r="L13">
        <v>1947</v>
      </c>
      <c r="M13" t="s">
        <v>68</v>
      </c>
      <c r="N13">
        <v>2020</v>
      </c>
    </row>
    <row r="14" spans="1:14" x14ac:dyDescent="0.25">
      <c r="A14">
        <v>13</v>
      </c>
      <c r="B14">
        <v>43856</v>
      </c>
      <c r="C14" t="s">
        <v>28</v>
      </c>
      <c r="D14" t="s">
        <v>14</v>
      </c>
      <c r="E14" t="s">
        <v>34</v>
      </c>
      <c r="F14" t="s">
        <v>23</v>
      </c>
      <c r="G14">
        <v>0</v>
      </c>
      <c r="H14" t="s">
        <v>49</v>
      </c>
      <c r="I14" t="s">
        <v>53</v>
      </c>
      <c r="J14" t="s">
        <v>26</v>
      </c>
      <c r="K14" t="s">
        <v>54</v>
      </c>
      <c r="L14">
        <v>2268</v>
      </c>
      <c r="M14" t="s">
        <v>68</v>
      </c>
      <c r="N14">
        <v>2020</v>
      </c>
    </row>
    <row r="15" spans="1:14" x14ac:dyDescent="0.25">
      <c r="A15">
        <v>14</v>
      </c>
      <c r="B15">
        <v>43857</v>
      </c>
      <c r="C15" t="s">
        <v>28</v>
      </c>
      <c r="D15" t="s">
        <v>14</v>
      </c>
      <c r="E15" t="s">
        <v>15</v>
      </c>
      <c r="F15" t="s">
        <v>16</v>
      </c>
      <c r="G15">
        <v>0</v>
      </c>
      <c r="H15" t="s">
        <v>55</v>
      </c>
      <c r="I15" t="s">
        <v>53</v>
      </c>
      <c r="J15" t="s">
        <v>26</v>
      </c>
      <c r="K15" t="s">
        <v>50</v>
      </c>
      <c r="L15">
        <v>628</v>
      </c>
      <c r="M15" t="s">
        <v>68</v>
      </c>
      <c r="N15">
        <v>2020</v>
      </c>
    </row>
    <row r="16" spans="1:14" x14ac:dyDescent="0.25">
      <c r="A16">
        <v>15</v>
      </c>
      <c r="B16">
        <v>43857</v>
      </c>
      <c r="C16" t="s">
        <v>28</v>
      </c>
      <c r="D16" t="s">
        <v>14</v>
      </c>
      <c r="E16" t="s">
        <v>15</v>
      </c>
      <c r="F16" t="s">
        <v>16</v>
      </c>
      <c r="G16">
        <v>0</v>
      </c>
      <c r="H16" t="s">
        <v>30</v>
      </c>
      <c r="I16" t="s">
        <v>39</v>
      </c>
      <c r="J16" t="s">
        <v>46</v>
      </c>
      <c r="K16" t="s">
        <v>54</v>
      </c>
      <c r="L16">
        <v>77</v>
      </c>
      <c r="M16" t="s">
        <v>68</v>
      </c>
      <c r="N16">
        <v>2020</v>
      </c>
    </row>
    <row r="17" spans="1:14" x14ac:dyDescent="0.25">
      <c r="A17">
        <v>16</v>
      </c>
      <c r="B17">
        <v>43857</v>
      </c>
      <c r="C17" t="s">
        <v>56</v>
      </c>
      <c r="D17" t="s">
        <v>14</v>
      </c>
      <c r="E17" t="s">
        <v>34</v>
      </c>
      <c r="F17" t="s">
        <v>29</v>
      </c>
      <c r="G17">
        <v>0</v>
      </c>
      <c r="H17" t="s">
        <v>37</v>
      </c>
      <c r="I17" t="s">
        <v>39</v>
      </c>
      <c r="J17" t="s">
        <v>26</v>
      </c>
      <c r="K17" t="s">
        <v>52</v>
      </c>
      <c r="L17">
        <v>341</v>
      </c>
      <c r="M17" t="s">
        <v>68</v>
      </c>
      <c r="N17">
        <v>2020</v>
      </c>
    </row>
    <row r="18" spans="1:14" x14ac:dyDescent="0.25">
      <c r="A18">
        <v>17</v>
      </c>
      <c r="B18">
        <v>43860</v>
      </c>
      <c r="C18" t="s">
        <v>51</v>
      </c>
      <c r="D18" t="s">
        <v>14</v>
      </c>
      <c r="E18" t="s">
        <v>22</v>
      </c>
      <c r="F18" t="s">
        <v>16</v>
      </c>
      <c r="G18">
        <v>0</v>
      </c>
      <c r="H18" t="s">
        <v>57</v>
      </c>
      <c r="I18" t="s">
        <v>18</v>
      </c>
      <c r="J18" t="s">
        <v>19</v>
      </c>
      <c r="K18" t="s">
        <v>50</v>
      </c>
      <c r="L18">
        <v>0</v>
      </c>
      <c r="M18" t="s">
        <v>68</v>
      </c>
      <c r="N18">
        <v>2020</v>
      </c>
    </row>
    <row r="19" spans="1:14" x14ac:dyDescent="0.25">
      <c r="A19">
        <v>18</v>
      </c>
      <c r="B19">
        <v>43860</v>
      </c>
      <c r="C19" t="s">
        <v>58</v>
      </c>
      <c r="D19" t="s">
        <v>14</v>
      </c>
      <c r="E19" t="s">
        <v>47</v>
      </c>
      <c r="F19" t="s">
        <v>48</v>
      </c>
      <c r="G19">
        <v>0</v>
      </c>
      <c r="H19" t="s">
        <v>45</v>
      </c>
      <c r="I19" t="s">
        <v>53</v>
      </c>
      <c r="J19" t="s">
        <v>26</v>
      </c>
      <c r="K19" t="s">
        <v>59</v>
      </c>
      <c r="L19">
        <v>2007</v>
      </c>
      <c r="M19" t="s">
        <v>68</v>
      </c>
      <c r="N19">
        <v>2020</v>
      </c>
    </row>
    <row r="20" spans="1:14" x14ac:dyDescent="0.25">
      <c r="A20">
        <v>19</v>
      </c>
      <c r="B20">
        <v>43862</v>
      </c>
      <c r="C20" t="s">
        <v>13</v>
      </c>
      <c r="D20" t="s">
        <v>14</v>
      </c>
      <c r="E20" t="s">
        <v>15</v>
      </c>
      <c r="F20" t="s">
        <v>38</v>
      </c>
      <c r="G20">
        <v>0</v>
      </c>
      <c r="H20" t="s">
        <v>60</v>
      </c>
      <c r="I20" t="s">
        <v>39</v>
      </c>
      <c r="J20" t="s">
        <v>46</v>
      </c>
      <c r="K20" t="s">
        <v>20</v>
      </c>
      <c r="L20">
        <v>338</v>
      </c>
      <c r="M20" t="s">
        <v>69</v>
      </c>
      <c r="N20">
        <v>2020</v>
      </c>
    </row>
    <row r="21" spans="1:14" x14ac:dyDescent="0.25">
      <c r="A21">
        <v>20</v>
      </c>
      <c r="B21">
        <v>43864</v>
      </c>
      <c r="C21" t="s">
        <v>51</v>
      </c>
      <c r="D21" t="s">
        <v>14</v>
      </c>
      <c r="E21" t="s">
        <v>15</v>
      </c>
      <c r="F21" t="s">
        <v>48</v>
      </c>
      <c r="G21">
        <v>4</v>
      </c>
      <c r="H21" t="s">
        <v>37</v>
      </c>
      <c r="I21" t="s">
        <v>25</v>
      </c>
      <c r="J21" t="s">
        <v>46</v>
      </c>
      <c r="K21" t="s">
        <v>50</v>
      </c>
      <c r="L21">
        <v>1196</v>
      </c>
      <c r="M21" t="s">
        <v>69</v>
      </c>
      <c r="N21">
        <v>2020</v>
      </c>
    </row>
    <row r="22" spans="1:14" x14ac:dyDescent="0.25">
      <c r="A22">
        <v>21</v>
      </c>
      <c r="B22">
        <v>43865</v>
      </c>
      <c r="C22" t="s">
        <v>61</v>
      </c>
      <c r="D22" t="s">
        <v>14</v>
      </c>
      <c r="E22" t="s">
        <v>15</v>
      </c>
      <c r="F22" t="s">
        <v>36</v>
      </c>
      <c r="G22">
        <v>0</v>
      </c>
      <c r="H22" t="s">
        <v>57</v>
      </c>
      <c r="I22" t="s">
        <v>18</v>
      </c>
      <c r="J22" t="s">
        <v>46</v>
      </c>
      <c r="K22" t="s">
        <v>52</v>
      </c>
      <c r="L22">
        <v>0</v>
      </c>
      <c r="M22" t="s">
        <v>69</v>
      </c>
      <c r="N22">
        <v>2020</v>
      </c>
    </row>
    <row r="23" spans="1:14" x14ac:dyDescent="0.25">
      <c r="A23">
        <v>22</v>
      </c>
      <c r="B23">
        <v>43870</v>
      </c>
      <c r="C23" t="s">
        <v>44</v>
      </c>
      <c r="D23" t="s">
        <v>14</v>
      </c>
      <c r="E23" t="s">
        <v>15</v>
      </c>
      <c r="F23" t="s">
        <v>38</v>
      </c>
      <c r="G23">
        <v>0</v>
      </c>
      <c r="H23" t="s">
        <v>57</v>
      </c>
      <c r="I23" t="s">
        <v>39</v>
      </c>
      <c r="J23" t="s">
        <v>19</v>
      </c>
      <c r="K23" t="s">
        <v>59</v>
      </c>
      <c r="L23">
        <v>180</v>
      </c>
      <c r="M23" t="s">
        <v>69</v>
      </c>
      <c r="N23">
        <v>2020</v>
      </c>
    </row>
    <row r="24" spans="1:14" x14ac:dyDescent="0.25">
      <c r="A24">
        <v>23</v>
      </c>
      <c r="B24">
        <v>43870</v>
      </c>
      <c r="C24" t="s">
        <v>61</v>
      </c>
      <c r="D24" t="s">
        <v>14</v>
      </c>
      <c r="E24" t="s">
        <v>15</v>
      </c>
      <c r="F24" t="s">
        <v>62</v>
      </c>
      <c r="G24">
        <v>4.5</v>
      </c>
      <c r="H24" t="s">
        <v>49</v>
      </c>
      <c r="I24" t="s">
        <v>25</v>
      </c>
      <c r="J24" t="s">
        <v>19</v>
      </c>
      <c r="K24" t="s">
        <v>52</v>
      </c>
      <c r="L24">
        <v>3784</v>
      </c>
      <c r="M24" t="s">
        <v>69</v>
      </c>
      <c r="N24">
        <v>2020</v>
      </c>
    </row>
    <row r="25" spans="1:14" x14ac:dyDescent="0.25">
      <c r="A25">
        <v>24</v>
      </c>
      <c r="B25">
        <v>43871</v>
      </c>
      <c r="C25" t="s">
        <v>44</v>
      </c>
      <c r="D25" t="s">
        <v>14</v>
      </c>
      <c r="E25" t="s">
        <v>15</v>
      </c>
      <c r="F25" t="s">
        <v>16</v>
      </c>
      <c r="G25">
        <v>1.5</v>
      </c>
      <c r="H25" t="s">
        <v>55</v>
      </c>
      <c r="I25" t="s">
        <v>25</v>
      </c>
      <c r="J25" t="s">
        <v>26</v>
      </c>
      <c r="K25" t="s">
        <v>59</v>
      </c>
      <c r="L25">
        <v>4414</v>
      </c>
      <c r="M25" t="s">
        <v>69</v>
      </c>
      <c r="N25">
        <v>2020</v>
      </c>
    </row>
    <row r="26" spans="1:14" x14ac:dyDescent="0.25">
      <c r="A26">
        <v>25</v>
      </c>
      <c r="B26">
        <v>43871</v>
      </c>
      <c r="C26" t="s">
        <v>61</v>
      </c>
      <c r="D26" t="s">
        <v>14</v>
      </c>
      <c r="E26" t="s">
        <v>15</v>
      </c>
      <c r="F26" t="s">
        <v>63</v>
      </c>
      <c r="G26">
        <v>2.5</v>
      </c>
      <c r="H26" t="s">
        <v>37</v>
      </c>
      <c r="I26" t="s">
        <v>25</v>
      </c>
      <c r="J26" t="s">
        <v>19</v>
      </c>
      <c r="K26" t="s">
        <v>40</v>
      </c>
      <c r="L26">
        <v>2790</v>
      </c>
      <c r="M26" t="s">
        <v>69</v>
      </c>
      <c r="N26">
        <v>2020</v>
      </c>
    </row>
    <row r="27" spans="1:14" x14ac:dyDescent="0.25">
      <c r="A27">
        <v>26</v>
      </c>
      <c r="B27">
        <v>43872</v>
      </c>
      <c r="C27" t="s">
        <v>21</v>
      </c>
      <c r="D27" t="s">
        <v>14</v>
      </c>
      <c r="E27" t="s">
        <v>22</v>
      </c>
      <c r="F27" t="s">
        <v>63</v>
      </c>
      <c r="G27">
        <v>0</v>
      </c>
      <c r="H27" t="s">
        <v>60</v>
      </c>
      <c r="I27" t="s">
        <v>39</v>
      </c>
      <c r="J27" t="s">
        <v>19</v>
      </c>
      <c r="K27" t="s">
        <v>31</v>
      </c>
      <c r="L27">
        <v>394</v>
      </c>
      <c r="M27" t="s">
        <v>69</v>
      </c>
      <c r="N27">
        <v>2020</v>
      </c>
    </row>
    <row r="28" spans="1:14" x14ac:dyDescent="0.25">
      <c r="A28">
        <v>27</v>
      </c>
      <c r="B28">
        <v>43873</v>
      </c>
      <c r="C28" t="s">
        <v>58</v>
      </c>
      <c r="D28" t="s">
        <v>14</v>
      </c>
      <c r="E28" t="s">
        <v>47</v>
      </c>
      <c r="F28" t="s">
        <v>48</v>
      </c>
      <c r="G28">
        <v>4</v>
      </c>
      <c r="H28" t="s">
        <v>57</v>
      </c>
      <c r="I28" t="s">
        <v>25</v>
      </c>
      <c r="J28" t="s">
        <v>19</v>
      </c>
      <c r="K28" t="s">
        <v>54</v>
      </c>
      <c r="L28">
        <v>4743</v>
      </c>
      <c r="M28" t="s">
        <v>69</v>
      </c>
      <c r="N28">
        <v>2020</v>
      </c>
    </row>
    <row r="29" spans="1:14" x14ac:dyDescent="0.25">
      <c r="A29">
        <v>28</v>
      </c>
      <c r="B29">
        <v>43874</v>
      </c>
      <c r="C29" t="s">
        <v>21</v>
      </c>
      <c r="D29" t="s">
        <v>14</v>
      </c>
      <c r="E29" t="s">
        <v>15</v>
      </c>
      <c r="F29" t="s">
        <v>16</v>
      </c>
      <c r="G29">
        <v>4.5</v>
      </c>
      <c r="H29" t="s">
        <v>60</v>
      </c>
      <c r="I29" t="s">
        <v>25</v>
      </c>
      <c r="J29" t="s">
        <v>46</v>
      </c>
      <c r="K29" t="s">
        <v>54</v>
      </c>
      <c r="L29">
        <v>3417</v>
      </c>
      <c r="M29" t="s">
        <v>69</v>
      </c>
      <c r="N29">
        <v>2020</v>
      </c>
    </row>
    <row r="30" spans="1:14" x14ac:dyDescent="0.25">
      <c r="A30">
        <v>29</v>
      </c>
      <c r="B30">
        <v>43874</v>
      </c>
      <c r="C30" t="s">
        <v>32</v>
      </c>
      <c r="D30" t="s">
        <v>14</v>
      </c>
      <c r="E30" t="s">
        <v>22</v>
      </c>
      <c r="F30" t="s">
        <v>38</v>
      </c>
      <c r="G30">
        <v>0</v>
      </c>
      <c r="H30" t="s">
        <v>24</v>
      </c>
      <c r="I30" t="s">
        <v>53</v>
      </c>
      <c r="J30" t="s">
        <v>46</v>
      </c>
      <c r="K30" t="s">
        <v>20</v>
      </c>
      <c r="L30">
        <v>2337</v>
      </c>
      <c r="M30" t="s">
        <v>69</v>
      </c>
      <c r="N30">
        <v>2020</v>
      </c>
    </row>
    <row r="31" spans="1:14" x14ac:dyDescent="0.25">
      <c r="A31">
        <v>30</v>
      </c>
      <c r="B31">
        <v>43875</v>
      </c>
      <c r="C31" t="s">
        <v>64</v>
      </c>
      <c r="D31" t="s">
        <v>14</v>
      </c>
      <c r="E31" t="s">
        <v>22</v>
      </c>
      <c r="F31" t="s">
        <v>62</v>
      </c>
      <c r="G31">
        <v>0</v>
      </c>
      <c r="H31" t="s">
        <v>30</v>
      </c>
      <c r="I31" t="s">
        <v>18</v>
      </c>
      <c r="J31" t="s">
        <v>46</v>
      </c>
      <c r="K31" t="s">
        <v>52</v>
      </c>
      <c r="L31">
        <v>0</v>
      </c>
      <c r="M31" t="s">
        <v>69</v>
      </c>
      <c r="N31">
        <v>2020</v>
      </c>
    </row>
    <row r="32" spans="1:14" x14ac:dyDescent="0.25">
      <c r="A32">
        <v>31</v>
      </c>
      <c r="B32">
        <v>43877</v>
      </c>
      <c r="C32" t="s">
        <v>64</v>
      </c>
      <c r="D32" t="s">
        <v>14</v>
      </c>
      <c r="E32" t="s">
        <v>47</v>
      </c>
      <c r="F32" t="s">
        <v>63</v>
      </c>
      <c r="G32">
        <v>0</v>
      </c>
      <c r="H32" t="s">
        <v>45</v>
      </c>
      <c r="I32" t="s">
        <v>39</v>
      </c>
      <c r="J32" t="s">
        <v>26</v>
      </c>
      <c r="K32" t="s">
        <v>27</v>
      </c>
      <c r="L32">
        <v>207</v>
      </c>
      <c r="M32" t="s">
        <v>69</v>
      </c>
      <c r="N32">
        <v>2020</v>
      </c>
    </row>
    <row r="33" spans="1:14" x14ac:dyDescent="0.25">
      <c r="A33">
        <v>32</v>
      </c>
      <c r="B33">
        <v>43878</v>
      </c>
      <c r="C33" t="s">
        <v>13</v>
      </c>
      <c r="D33" t="s">
        <v>33</v>
      </c>
      <c r="E33" t="s">
        <v>34</v>
      </c>
      <c r="F33" t="s">
        <v>48</v>
      </c>
      <c r="G33">
        <v>2</v>
      </c>
      <c r="H33" t="s">
        <v>37</v>
      </c>
      <c r="I33" t="s">
        <v>25</v>
      </c>
      <c r="J33" t="s">
        <v>46</v>
      </c>
      <c r="K33" t="s">
        <v>50</v>
      </c>
      <c r="L33">
        <v>2544</v>
      </c>
      <c r="M33" t="s">
        <v>69</v>
      </c>
      <c r="N33">
        <v>2020</v>
      </c>
    </row>
    <row r="34" spans="1:14" x14ac:dyDescent="0.25">
      <c r="A34">
        <v>33</v>
      </c>
      <c r="B34">
        <v>43880</v>
      </c>
      <c r="C34" t="s">
        <v>13</v>
      </c>
      <c r="D34" t="s">
        <v>33</v>
      </c>
      <c r="E34" t="s">
        <v>47</v>
      </c>
      <c r="F34" t="s">
        <v>62</v>
      </c>
      <c r="G34">
        <v>0</v>
      </c>
      <c r="H34" t="s">
        <v>57</v>
      </c>
      <c r="I34" t="s">
        <v>53</v>
      </c>
      <c r="J34" t="s">
        <v>26</v>
      </c>
      <c r="K34" t="s">
        <v>31</v>
      </c>
      <c r="L34">
        <v>3411</v>
      </c>
      <c r="M34" t="s">
        <v>69</v>
      </c>
      <c r="N34">
        <v>2020</v>
      </c>
    </row>
    <row r="35" spans="1:14" x14ac:dyDescent="0.25">
      <c r="A35">
        <v>34</v>
      </c>
      <c r="B35">
        <v>43881</v>
      </c>
      <c r="C35" t="s">
        <v>56</v>
      </c>
      <c r="D35" t="s">
        <v>14</v>
      </c>
      <c r="E35" t="s">
        <v>34</v>
      </c>
      <c r="F35" t="s">
        <v>63</v>
      </c>
      <c r="G35">
        <v>0</v>
      </c>
      <c r="H35" t="s">
        <v>45</v>
      </c>
      <c r="I35" t="s">
        <v>18</v>
      </c>
      <c r="J35" t="s">
        <v>19</v>
      </c>
      <c r="K35" t="s">
        <v>27</v>
      </c>
      <c r="L35">
        <v>0</v>
      </c>
      <c r="M35" t="s">
        <v>69</v>
      </c>
      <c r="N35">
        <v>2020</v>
      </c>
    </row>
    <row r="36" spans="1:14" x14ac:dyDescent="0.25">
      <c r="A36">
        <v>35</v>
      </c>
      <c r="B36">
        <v>43883</v>
      </c>
      <c r="C36" t="s">
        <v>21</v>
      </c>
      <c r="D36" t="s">
        <v>14</v>
      </c>
      <c r="E36" t="s">
        <v>22</v>
      </c>
      <c r="F36" t="s">
        <v>62</v>
      </c>
      <c r="G36">
        <v>0</v>
      </c>
      <c r="H36" t="s">
        <v>30</v>
      </c>
      <c r="I36" t="s">
        <v>53</v>
      </c>
      <c r="J36" t="s">
        <v>19</v>
      </c>
      <c r="K36" t="s">
        <v>27</v>
      </c>
      <c r="L36">
        <v>4800</v>
      </c>
      <c r="M36" t="s">
        <v>69</v>
      </c>
      <c r="N36">
        <v>2020</v>
      </c>
    </row>
    <row r="37" spans="1:14" x14ac:dyDescent="0.25">
      <c r="A37">
        <v>36</v>
      </c>
      <c r="B37">
        <v>43888</v>
      </c>
      <c r="C37" t="s">
        <v>41</v>
      </c>
      <c r="D37" t="s">
        <v>14</v>
      </c>
      <c r="E37" t="s">
        <v>34</v>
      </c>
      <c r="F37" t="s">
        <v>62</v>
      </c>
      <c r="G37">
        <v>0</v>
      </c>
      <c r="H37" t="s">
        <v>55</v>
      </c>
      <c r="I37" t="s">
        <v>53</v>
      </c>
      <c r="J37" t="s">
        <v>46</v>
      </c>
      <c r="K37" t="s">
        <v>50</v>
      </c>
      <c r="L37">
        <v>3339</v>
      </c>
      <c r="M37" t="s">
        <v>69</v>
      </c>
      <c r="N37">
        <v>2020</v>
      </c>
    </row>
    <row r="38" spans="1:14" x14ac:dyDescent="0.25">
      <c r="A38">
        <v>37</v>
      </c>
      <c r="B38">
        <v>43889</v>
      </c>
      <c r="C38" t="s">
        <v>56</v>
      </c>
      <c r="D38" t="s">
        <v>14</v>
      </c>
      <c r="E38" t="s">
        <v>34</v>
      </c>
      <c r="F38" t="s">
        <v>36</v>
      </c>
      <c r="G38">
        <v>5</v>
      </c>
      <c r="H38" t="s">
        <v>57</v>
      </c>
      <c r="I38" t="s">
        <v>25</v>
      </c>
      <c r="J38" t="s">
        <v>46</v>
      </c>
      <c r="K38" t="s">
        <v>27</v>
      </c>
      <c r="L38">
        <v>4969</v>
      </c>
      <c r="M38" t="s">
        <v>69</v>
      </c>
      <c r="N38">
        <v>2020</v>
      </c>
    </row>
    <row r="39" spans="1:14" x14ac:dyDescent="0.25">
      <c r="A39">
        <v>38</v>
      </c>
      <c r="B39">
        <v>43891</v>
      </c>
      <c r="C39" t="s">
        <v>65</v>
      </c>
      <c r="D39" t="s">
        <v>14</v>
      </c>
      <c r="E39" t="s">
        <v>22</v>
      </c>
      <c r="F39" t="s">
        <v>48</v>
      </c>
      <c r="G39">
        <v>0</v>
      </c>
      <c r="H39" t="s">
        <v>57</v>
      </c>
      <c r="I39" t="s">
        <v>39</v>
      </c>
      <c r="J39" t="s">
        <v>19</v>
      </c>
      <c r="K39" t="s">
        <v>52</v>
      </c>
      <c r="L39">
        <v>360</v>
      </c>
      <c r="M39" t="s">
        <v>70</v>
      </c>
      <c r="N39">
        <v>2020</v>
      </c>
    </row>
    <row r="40" spans="1:14" x14ac:dyDescent="0.25">
      <c r="A40">
        <v>39</v>
      </c>
      <c r="B40">
        <v>43893</v>
      </c>
      <c r="C40" t="s">
        <v>28</v>
      </c>
      <c r="D40" t="s">
        <v>14</v>
      </c>
      <c r="E40" t="s">
        <v>15</v>
      </c>
      <c r="F40" t="s">
        <v>16</v>
      </c>
      <c r="G40">
        <v>0</v>
      </c>
      <c r="H40" t="s">
        <v>17</v>
      </c>
      <c r="I40" t="s">
        <v>18</v>
      </c>
      <c r="J40" t="s">
        <v>19</v>
      </c>
      <c r="K40" t="s">
        <v>52</v>
      </c>
      <c r="L40">
        <v>0</v>
      </c>
      <c r="M40" t="s">
        <v>70</v>
      </c>
      <c r="N40">
        <v>2020</v>
      </c>
    </row>
    <row r="41" spans="1:14" x14ac:dyDescent="0.25">
      <c r="A41">
        <v>40</v>
      </c>
      <c r="B41">
        <v>43893</v>
      </c>
      <c r="C41" t="s">
        <v>21</v>
      </c>
      <c r="D41" t="s">
        <v>14</v>
      </c>
      <c r="E41" t="s">
        <v>47</v>
      </c>
      <c r="F41" t="s">
        <v>38</v>
      </c>
      <c r="G41">
        <v>2.5</v>
      </c>
      <c r="H41" t="s">
        <v>49</v>
      </c>
      <c r="I41" t="s">
        <v>25</v>
      </c>
      <c r="J41" t="s">
        <v>26</v>
      </c>
      <c r="K41" t="s">
        <v>50</v>
      </c>
      <c r="L41">
        <v>4718</v>
      </c>
      <c r="M41" t="s">
        <v>70</v>
      </c>
      <c r="N41">
        <v>2020</v>
      </c>
    </row>
    <row r="42" spans="1:14" x14ac:dyDescent="0.25">
      <c r="A42">
        <v>41</v>
      </c>
      <c r="B42">
        <v>43896</v>
      </c>
      <c r="C42" t="s">
        <v>28</v>
      </c>
      <c r="D42" t="s">
        <v>14</v>
      </c>
      <c r="E42" t="s">
        <v>47</v>
      </c>
      <c r="F42" t="s">
        <v>16</v>
      </c>
      <c r="G42">
        <v>0</v>
      </c>
      <c r="H42" t="s">
        <v>37</v>
      </c>
      <c r="I42" t="s">
        <v>18</v>
      </c>
      <c r="J42" t="s">
        <v>46</v>
      </c>
      <c r="K42" t="s">
        <v>52</v>
      </c>
      <c r="L42">
        <v>0</v>
      </c>
      <c r="M42" t="s">
        <v>70</v>
      </c>
      <c r="N42">
        <v>2020</v>
      </c>
    </row>
    <row r="43" spans="1:14" x14ac:dyDescent="0.25">
      <c r="A43">
        <v>42</v>
      </c>
      <c r="B43">
        <v>43896</v>
      </c>
      <c r="C43" t="s">
        <v>61</v>
      </c>
      <c r="D43" t="s">
        <v>14</v>
      </c>
      <c r="E43" t="s">
        <v>15</v>
      </c>
      <c r="F43" t="s">
        <v>29</v>
      </c>
      <c r="G43">
        <v>0</v>
      </c>
      <c r="H43" t="s">
        <v>57</v>
      </c>
      <c r="I43" t="s">
        <v>39</v>
      </c>
      <c r="J43" t="s">
        <v>26</v>
      </c>
      <c r="K43" t="s">
        <v>52</v>
      </c>
      <c r="L43">
        <v>456</v>
      </c>
      <c r="M43" t="s">
        <v>70</v>
      </c>
      <c r="N43">
        <v>2020</v>
      </c>
    </row>
    <row r="44" spans="1:14" x14ac:dyDescent="0.25">
      <c r="A44">
        <v>43</v>
      </c>
      <c r="B44">
        <v>43897</v>
      </c>
      <c r="C44" t="s">
        <v>44</v>
      </c>
      <c r="D44" t="s">
        <v>14</v>
      </c>
      <c r="E44" t="s">
        <v>34</v>
      </c>
      <c r="F44" t="s">
        <v>48</v>
      </c>
      <c r="G44">
        <v>0</v>
      </c>
      <c r="H44" t="s">
        <v>24</v>
      </c>
      <c r="I44" t="s">
        <v>39</v>
      </c>
      <c r="J44" t="s">
        <v>46</v>
      </c>
      <c r="K44" t="s">
        <v>31</v>
      </c>
      <c r="L44">
        <v>307</v>
      </c>
      <c r="M44" t="s">
        <v>70</v>
      </c>
      <c r="N44">
        <v>2020</v>
      </c>
    </row>
    <row r="45" spans="1:14" x14ac:dyDescent="0.25">
      <c r="A45">
        <v>44</v>
      </c>
      <c r="B45">
        <v>43901</v>
      </c>
      <c r="C45" t="s">
        <v>51</v>
      </c>
      <c r="D45" t="s">
        <v>14</v>
      </c>
      <c r="E45" t="s">
        <v>47</v>
      </c>
      <c r="F45" t="s">
        <v>29</v>
      </c>
      <c r="G45">
        <v>0</v>
      </c>
      <c r="H45" t="s">
        <v>37</v>
      </c>
      <c r="I45" t="s">
        <v>18</v>
      </c>
      <c r="J45" t="s">
        <v>26</v>
      </c>
      <c r="K45" t="s">
        <v>50</v>
      </c>
      <c r="L45">
        <v>0</v>
      </c>
      <c r="M45" t="s">
        <v>70</v>
      </c>
      <c r="N45">
        <v>2020</v>
      </c>
    </row>
    <row r="46" spans="1:14" x14ac:dyDescent="0.25">
      <c r="A46">
        <v>45</v>
      </c>
      <c r="B46">
        <v>43902</v>
      </c>
      <c r="C46" t="s">
        <v>41</v>
      </c>
      <c r="D46" t="s">
        <v>33</v>
      </c>
      <c r="E46" t="s">
        <v>22</v>
      </c>
      <c r="F46" t="s">
        <v>48</v>
      </c>
      <c r="G46">
        <v>0</v>
      </c>
      <c r="H46" t="s">
        <v>49</v>
      </c>
      <c r="I46" t="s">
        <v>53</v>
      </c>
      <c r="J46" t="s">
        <v>26</v>
      </c>
      <c r="K46" t="s">
        <v>31</v>
      </c>
      <c r="L46">
        <v>4933</v>
      </c>
      <c r="M46" t="s">
        <v>70</v>
      </c>
      <c r="N46">
        <v>2020</v>
      </c>
    </row>
    <row r="47" spans="1:14" x14ac:dyDescent="0.25">
      <c r="A47">
        <v>46</v>
      </c>
      <c r="B47">
        <v>43907</v>
      </c>
      <c r="C47" t="s">
        <v>64</v>
      </c>
      <c r="D47" t="s">
        <v>14</v>
      </c>
      <c r="E47" t="s">
        <v>15</v>
      </c>
      <c r="F47" t="s">
        <v>63</v>
      </c>
      <c r="G47">
        <v>4.5</v>
      </c>
      <c r="H47" t="s">
        <v>17</v>
      </c>
      <c r="I47" t="s">
        <v>25</v>
      </c>
      <c r="J47" t="s">
        <v>26</v>
      </c>
      <c r="K47" t="s">
        <v>27</v>
      </c>
      <c r="L47">
        <v>3146</v>
      </c>
      <c r="M47" t="s">
        <v>70</v>
      </c>
      <c r="N47">
        <v>2020</v>
      </c>
    </row>
    <row r="48" spans="1:14" x14ac:dyDescent="0.25">
      <c r="A48">
        <v>47</v>
      </c>
      <c r="B48">
        <v>43910</v>
      </c>
      <c r="C48" t="s">
        <v>28</v>
      </c>
      <c r="D48" t="s">
        <v>14</v>
      </c>
      <c r="E48" t="s">
        <v>34</v>
      </c>
      <c r="F48" t="s">
        <v>36</v>
      </c>
      <c r="G48">
        <v>0</v>
      </c>
      <c r="H48" t="s">
        <v>57</v>
      </c>
      <c r="I48" t="s">
        <v>18</v>
      </c>
      <c r="J48" t="s">
        <v>26</v>
      </c>
      <c r="K48" t="s">
        <v>40</v>
      </c>
      <c r="L48">
        <v>0</v>
      </c>
      <c r="M48" t="s">
        <v>70</v>
      </c>
      <c r="N48">
        <v>2020</v>
      </c>
    </row>
    <row r="49" spans="1:14" x14ac:dyDescent="0.25">
      <c r="A49">
        <v>48</v>
      </c>
      <c r="B49">
        <v>43911</v>
      </c>
      <c r="C49" t="s">
        <v>56</v>
      </c>
      <c r="D49" t="s">
        <v>14</v>
      </c>
      <c r="E49" t="s">
        <v>34</v>
      </c>
      <c r="F49" t="s">
        <v>35</v>
      </c>
      <c r="G49">
        <v>0</v>
      </c>
      <c r="H49" t="s">
        <v>37</v>
      </c>
      <c r="I49" t="s">
        <v>53</v>
      </c>
      <c r="J49" t="s">
        <v>46</v>
      </c>
      <c r="K49" t="s">
        <v>59</v>
      </c>
      <c r="L49">
        <v>3084</v>
      </c>
      <c r="M49" t="s">
        <v>70</v>
      </c>
      <c r="N49">
        <v>2020</v>
      </c>
    </row>
    <row r="50" spans="1:14" x14ac:dyDescent="0.25">
      <c r="A50">
        <v>49</v>
      </c>
      <c r="B50">
        <v>43913</v>
      </c>
      <c r="C50" t="s">
        <v>13</v>
      </c>
      <c r="D50" t="s">
        <v>14</v>
      </c>
      <c r="E50" t="s">
        <v>34</v>
      </c>
      <c r="F50" t="s">
        <v>35</v>
      </c>
      <c r="G50">
        <v>0</v>
      </c>
      <c r="H50" t="s">
        <v>49</v>
      </c>
      <c r="I50" t="s">
        <v>18</v>
      </c>
      <c r="J50" t="s">
        <v>19</v>
      </c>
      <c r="K50" t="s">
        <v>54</v>
      </c>
      <c r="L50">
        <v>0</v>
      </c>
      <c r="M50" t="s">
        <v>70</v>
      </c>
      <c r="N50">
        <v>2020</v>
      </c>
    </row>
    <row r="51" spans="1:14" x14ac:dyDescent="0.25">
      <c r="A51">
        <v>50</v>
      </c>
      <c r="B51">
        <v>43924</v>
      </c>
      <c r="C51" t="s">
        <v>32</v>
      </c>
      <c r="D51" t="s">
        <v>14</v>
      </c>
      <c r="E51" t="s">
        <v>15</v>
      </c>
      <c r="F51" t="s">
        <v>16</v>
      </c>
      <c r="G51">
        <v>0</v>
      </c>
      <c r="H51" t="s">
        <v>45</v>
      </c>
      <c r="I51" t="s">
        <v>39</v>
      </c>
      <c r="J51" t="s">
        <v>46</v>
      </c>
      <c r="K51" t="s">
        <v>20</v>
      </c>
      <c r="L51">
        <v>260</v>
      </c>
      <c r="M51" t="s">
        <v>71</v>
      </c>
      <c r="N51">
        <v>2020</v>
      </c>
    </row>
    <row r="52" spans="1:14" x14ac:dyDescent="0.25">
      <c r="A52">
        <v>51</v>
      </c>
      <c r="B52">
        <v>43925</v>
      </c>
      <c r="C52" t="s">
        <v>65</v>
      </c>
      <c r="D52" t="s">
        <v>14</v>
      </c>
      <c r="E52" t="s">
        <v>34</v>
      </c>
      <c r="F52" t="s">
        <v>62</v>
      </c>
      <c r="G52">
        <v>0</v>
      </c>
      <c r="H52" t="s">
        <v>60</v>
      </c>
      <c r="I52" t="s">
        <v>39</v>
      </c>
      <c r="J52" t="s">
        <v>19</v>
      </c>
      <c r="K52" t="s">
        <v>59</v>
      </c>
      <c r="L52">
        <v>40</v>
      </c>
      <c r="M52" t="s">
        <v>71</v>
      </c>
      <c r="N52">
        <v>2020</v>
      </c>
    </row>
    <row r="53" spans="1:14" x14ac:dyDescent="0.25">
      <c r="A53">
        <v>52</v>
      </c>
      <c r="B53">
        <v>43925</v>
      </c>
      <c r="C53" t="s">
        <v>56</v>
      </c>
      <c r="D53" t="s">
        <v>14</v>
      </c>
      <c r="E53" t="s">
        <v>15</v>
      </c>
      <c r="F53" t="s">
        <v>23</v>
      </c>
      <c r="G53">
        <v>0</v>
      </c>
      <c r="H53" t="s">
        <v>57</v>
      </c>
      <c r="I53" t="s">
        <v>53</v>
      </c>
      <c r="J53" t="s">
        <v>26</v>
      </c>
      <c r="K53" t="s">
        <v>54</v>
      </c>
      <c r="L53">
        <v>2615</v>
      </c>
      <c r="M53" t="s">
        <v>71</v>
      </c>
      <c r="N53">
        <v>2020</v>
      </c>
    </row>
    <row r="54" spans="1:14" x14ac:dyDescent="0.25">
      <c r="A54">
        <v>53</v>
      </c>
      <c r="B54">
        <v>43925</v>
      </c>
      <c r="C54" t="s">
        <v>51</v>
      </c>
      <c r="D54" t="s">
        <v>14</v>
      </c>
      <c r="E54" t="s">
        <v>47</v>
      </c>
      <c r="F54" t="s">
        <v>35</v>
      </c>
      <c r="G54">
        <v>4.5</v>
      </c>
      <c r="H54" t="s">
        <v>57</v>
      </c>
      <c r="I54" t="s">
        <v>25</v>
      </c>
      <c r="J54" t="s">
        <v>26</v>
      </c>
      <c r="K54" t="s">
        <v>31</v>
      </c>
      <c r="L54">
        <v>450</v>
      </c>
      <c r="M54" t="s">
        <v>71</v>
      </c>
      <c r="N54">
        <v>2020</v>
      </c>
    </row>
    <row r="55" spans="1:14" x14ac:dyDescent="0.25">
      <c r="A55">
        <v>54</v>
      </c>
      <c r="B55">
        <v>43927</v>
      </c>
      <c r="C55" t="s">
        <v>21</v>
      </c>
      <c r="D55" t="s">
        <v>14</v>
      </c>
      <c r="E55" t="s">
        <v>47</v>
      </c>
      <c r="F55" t="s">
        <v>63</v>
      </c>
      <c r="G55">
        <v>0</v>
      </c>
      <c r="H55" t="s">
        <v>60</v>
      </c>
      <c r="I55" t="s">
        <v>53</v>
      </c>
      <c r="J55" t="s">
        <v>46</v>
      </c>
      <c r="K55" t="s">
        <v>54</v>
      </c>
      <c r="L55">
        <v>4462</v>
      </c>
      <c r="M55" t="s">
        <v>71</v>
      </c>
      <c r="N55">
        <v>2020</v>
      </c>
    </row>
    <row r="56" spans="1:14" x14ac:dyDescent="0.25">
      <c r="A56">
        <v>55</v>
      </c>
      <c r="B56">
        <v>43928</v>
      </c>
      <c r="C56" t="s">
        <v>32</v>
      </c>
      <c r="D56" t="s">
        <v>14</v>
      </c>
      <c r="E56" t="s">
        <v>34</v>
      </c>
      <c r="F56" t="s">
        <v>36</v>
      </c>
      <c r="G56">
        <v>0</v>
      </c>
      <c r="H56" t="s">
        <v>37</v>
      </c>
      <c r="I56" t="s">
        <v>39</v>
      </c>
      <c r="J56" t="s">
        <v>46</v>
      </c>
      <c r="K56" t="s">
        <v>43</v>
      </c>
      <c r="L56">
        <v>76</v>
      </c>
      <c r="M56" t="s">
        <v>71</v>
      </c>
      <c r="N56">
        <v>2020</v>
      </c>
    </row>
    <row r="57" spans="1:14" x14ac:dyDescent="0.25">
      <c r="A57">
        <v>56</v>
      </c>
      <c r="B57">
        <v>43933</v>
      </c>
      <c r="C57" t="s">
        <v>21</v>
      </c>
      <c r="D57" t="s">
        <v>14</v>
      </c>
      <c r="E57" t="s">
        <v>47</v>
      </c>
      <c r="F57" t="s">
        <v>48</v>
      </c>
      <c r="G57">
        <v>0</v>
      </c>
      <c r="H57" t="s">
        <v>37</v>
      </c>
      <c r="I57" t="s">
        <v>39</v>
      </c>
      <c r="J57" t="s">
        <v>46</v>
      </c>
      <c r="K57" t="s">
        <v>50</v>
      </c>
      <c r="L57">
        <v>297</v>
      </c>
      <c r="M57" t="s">
        <v>71</v>
      </c>
      <c r="N57">
        <v>2020</v>
      </c>
    </row>
    <row r="58" spans="1:14" x14ac:dyDescent="0.25">
      <c r="A58">
        <v>57</v>
      </c>
      <c r="B58">
        <v>43934</v>
      </c>
      <c r="C58" t="s">
        <v>28</v>
      </c>
      <c r="D58" t="s">
        <v>33</v>
      </c>
      <c r="E58" t="s">
        <v>47</v>
      </c>
      <c r="F58" t="s">
        <v>23</v>
      </c>
      <c r="G58">
        <v>4.5</v>
      </c>
      <c r="H58" t="s">
        <v>24</v>
      </c>
      <c r="I58" t="s">
        <v>25</v>
      </c>
      <c r="J58" t="s">
        <v>46</v>
      </c>
      <c r="K58" t="s">
        <v>27</v>
      </c>
      <c r="L58">
        <v>1152</v>
      </c>
      <c r="M58" t="s">
        <v>71</v>
      </c>
      <c r="N58">
        <v>2020</v>
      </c>
    </row>
    <row r="59" spans="1:14" x14ac:dyDescent="0.25">
      <c r="A59">
        <v>58</v>
      </c>
      <c r="B59">
        <v>43934</v>
      </c>
      <c r="C59" t="s">
        <v>32</v>
      </c>
      <c r="D59" t="s">
        <v>14</v>
      </c>
      <c r="E59" t="s">
        <v>34</v>
      </c>
      <c r="F59" t="s">
        <v>63</v>
      </c>
      <c r="G59">
        <v>0</v>
      </c>
      <c r="H59" t="s">
        <v>60</v>
      </c>
      <c r="I59" t="s">
        <v>18</v>
      </c>
      <c r="J59" t="s">
        <v>26</v>
      </c>
      <c r="K59" t="s">
        <v>54</v>
      </c>
      <c r="L59">
        <v>0</v>
      </c>
      <c r="M59" t="s">
        <v>71</v>
      </c>
      <c r="N59">
        <v>2020</v>
      </c>
    </row>
    <row r="60" spans="1:14" x14ac:dyDescent="0.25">
      <c r="A60">
        <v>59</v>
      </c>
      <c r="B60">
        <v>43935</v>
      </c>
      <c r="C60" t="s">
        <v>56</v>
      </c>
      <c r="D60" t="s">
        <v>14</v>
      </c>
      <c r="E60" t="s">
        <v>15</v>
      </c>
      <c r="F60" t="s">
        <v>16</v>
      </c>
      <c r="G60">
        <v>0</v>
      </c>
      <c r="H60" t="s">
        <v>55</v>
      </c>
      <c r="I60" t="s">
        <v>39</v>
      </c>
      <c r="J60" t="s">
        <v>46</v>
      </c>
      <c r="K60" t="s">
        <v>43</v>
      </c>
      <c r="L60">
        <v>173</v>
      </c>
      <c r="M60" t="s">
        <v>71</v>
      </c>
      <c r="N60">
        <v>2020</v>
      </c>
    </row>
    <row r="61" spans="1:14" x14ac:dyDescent="0.25">
      <c r="A61">
        <v>60</v>
      </c>
      <c r="B61">
        <v>43935</v>
      </c>
      <c r="C61" t="s">
        <v>51</v>
      </c>
      <c r="D61" t="s">
        <v>14</v>
      </c>
      <c r="E61" t="s">
        <v>22</v>
      </c>
      <c r="F61" t="s">
        <v>48</v>
      </c>
      <c r="G61">
        <v>0</v>
      </c>
      <c r="H61" t="s">
        <v>57</v>
      </c>
      <c r="I61" t="s">
        <v>18</v>
      </c>
      <c r="J61" t="s">
        <v>46</v>
      </c>
      <c r="K61" t="s">
        <v>54</v>
      </c>
      <c r="L61">
        <v>0</v>
      </c>
      <c r="M61" t="s">
        <v>71</v>
      </c>
      <c r="N61">
        <v>2020</v>
      </c>
    </row>
    <row r="62" spans="1:14" x14ac:dyDescent="0.25">
      <c r="A62">
        <v>61</v>
      </c>
      <c r="B62">
        <v>43936</v>
      </c>
      <c r="C62" t="s">
        <v>56</v>
      </c>
      <c r="D62" t="s">
        <v>14</v>
      </c>
      <c r="E62" t="s">
        <v>22</v>
      </c>
      <c r="F62" t="s">
        <v>35</v>
      </c>
      <c r="G62">
        <v>1.5</v>
      </c>
      <c r="H62" t="s">
        <v>60</v>
      </c>
      <c r="I62" t="s">
        <v>25</v>
      </c>
      <c r="J62" t="s">
        <v>19</v>
      </c>
      <c r="K62" t="s">
        <v>52</v>
      </c>
      <c r="L62">
        <v>4731</v>
      </c>
      <c r="M62" t="s">
        <v>71</v>
      </c>
      <c r="N62">
        <v>2020</v>
      </c>
    </row>
    <row r="63" spans="1:14" x14ac:dyDescent="0.25">
      <c r="A63">
        <v>62</v>
      </c>
      <c r="B63">
        <v>43937</v>
      </c>
      <c r="C63" t="s">
        <v>28</v>
      </c>
      <c r="D63" t="s">
        <v>14</v>
      </c>
      <c r="E63" t="s">
        <v>34</v>
      </c>
      <c r="F63" t="s">
        <v>16</v>
      </c>
      <c r="G63">
        <v>0</v>
      </c>
      <c r="H63" t="s">
        <v>17</v>
      </c>
      <c r="I63" t="s">
        <v>39</v>
      </c>
      <c r="J63" t="s">
        <v>19</v>
      </c>
      <c r="K63" t="s">
        <v>20</v>
      </c>
      <c r="L63">
        <v>155</v>
      </c>
      <c r="M63" t="s">
        <v>71</v>
      </c>
      <c r="N63">
        <v>2020</v>
      </c>
    </row>
    <row r="64" spans="1:14" x14ac:dyDescent="0.25">
      <c r="A64">
        <v>63</v>
      </c>
      <c r="B64">
        <v>43938</v>
      </c>
      <c r="C64" t="s">
        <v>64</v>
      </c>
      <c r="D64" t="s">
        <v>14</v>
      </c>
      <c r="E64" t="s">
        <v>15</v>
      </c>
      <c r="F64" t="s">
        <v>38</v>
      </c>
      <c r="G64">
        <v>3</v>
      </c>
      <c r="H64" t="s">
        <v>30</v>
      </c>
      <c r="I64" t="s">
        <v>25</v>
      </c>
      <c r="J64" t="s">
        <v>46</v>
      </c>
      <c r="K64" t="s">
        <v>31</v>
      </c>
      <c r="L64">
        <v>3425</v>
      </c>
      <c r="M64" t="s">
        <v>71</v>
      </c>
      <c r="N64">
        <v>2020</v>
      </c>
    </row>
    <row r="65" spans="1:14" x14ac:dyDescent="0.25">
      <c r="A65">
        <v>64</v>
      </c>
      <c r="B65">
        <v>43939</v>
      </c>
      <c r="C65" t="s">
        <v>41</v>
      </c>
      <c r="D65" t="s">
        <v>14</v>
      </c>
      <c r="E65" t="s">
        <v>47</v>
      </c>
      <c r="F65" t="s">
        <v>16</v>
      </c>
      <c r="G65">
        <v>0</v>
      </c>
      <c r="H65" t="s">
        <v>24</v>
      </c>
      <c r="I65" t="s">
        <v>18</v>
      </c>
      <c r="J65" t="s">
        <v>46</v>
      </c>
      <c r="K65" t="s">
        <v>31</v>
      </c>
      <c r="L65">
        <v>0</v>
      </c>
      <c r="M65" t="s">
        <v>71</v>
      </c>
      <c r="N65">
        <v>2020</v>
      </c>
    </row>
    <row r="66" spans="1:14" x14ac:dyDescent="0.25">
      <c r="A66">
        <v>65</v>
      </c>
      <c r="B66">
        <v>43942</v>
      </c>
      <c r="C66" t="s">
        <v>51</v>
      </c>
      <c r="D66" t="s">
        <v>14</v>
      </c>
      <c r="E66" t="s">
        <v>47</v>
      </c>
      <c r="F66" t="s">
        <v>29</v>
      </c>
      <c r="G66">
        <v>3</v>
      </c>
      <c r="H66" t="s">
        <v>45</v>
      </c>
      <c r="I66" t="s">
        <v>25</v>
      </c>
      <c r="J66" t="s">
        <v>46</v>
      </c>
      <c r="K66" t="s">
        <v>27</v>
      </c>
      <c r="L66">
        <v>2627</v>
      </c>
      <c r="M66" t="s">
        <v>71</v>
      </c>
      <c r="N66">
        <v>2020</v>
      </c>
    </row>
    <row r="67" spans="1:14" x14ac:dyDescent="0.25">
      <c r="A67">
        <v>66</v>
      </c>
      <c r="B67">
        <v>43942</v>
      </c>
      <c r="C67" t="s">
        <v>61</v>
      </c>
      <c r="D67" t="s">
        <v>33</v>
      </c>
      <c r="E67" t="s">
        <v>47</v>
      </c>
      <c r="F67" t="s">
        <v>23</v>
      </c>
      <c r="G67">
        <v>4</v>
      </c>
      <c r="H67" t="s">
        <v>55</v>
      </c>
      <c r="I67" t="s">
        <v>25</v>
      </c>
      <c r="J67" t="s">
        <v>19</v>
      </c>
      <c r="K67" t="s">
        <v>52</v>
      </c>
      <c r="L67">
        <v>3680</v>
      </c>
      <c r="M67" t="s">
        <v>71</v>
      </c>
      <c r="N67">
        <v>2020</v>
      </c>
    </row>
    <row r="68" spans="1:14" x14ac:dyDescent="0.25">
      <c r="A68">
        <v>67</v>
      </c>
      <c r="B68">
        <v>43943</v>
      </c>
      <c r="C68" t="s">
        <v>32</v>
      </c>
      <c r="D68" t="s">
        <v>14</v>
      </c>
      <c r="E68" t="s">
        <v>34</v>
      </c>
      <c r="F68" t="s">
        <v>23</v>
      </c>
      <c r="G68">
        <v>0</v>
      </c>
      <c r="H68" t="s">
        <v>17</v>
      </c>
      <c r="I68" t="s">
        <v>39</v>
      </c>
      <c r="J68" t="s">
        <v>26</v>
      </c>
      <c r="K68" t="s">
        <v>31</v>
      </c>
      <c r="L68">
        <v>281</v>
      </c>
      <c r="M68" t="s">
        <v>71</v>
      </c>
      <c r="N68">
        <v>2020</v>
      </c>
    </row>
    <row r="69" spans="1:14" x14ac:dyDescent="0.25">
      <c r="A69">
        <v>68</v>
      </c>
      <c r="B69">
        <v>43943</v>
      </c>
      <c r="C69" t="s">
        <v>32</v>
      </c>
      <c r="D69" t="s">
        <v>14</v>
      </c>
      <c r="E69" t="s">
        <v>22</v>
      </c>
      <c r="F69" t="s">
        <v>62</v>
      </c>
      <c r="G69">
        <v>0</v>
      </c>
      <c r="H69" t="s">
        <v>17</v>
      </c>
      <c r="I69" t="s">
        <v>18</v>
      </c>
      <c r="J69" t="s">
        <v>19</v>
      </c>
      <c r="K69" t="s">
        <v>40</v>
      </c>
      <c r="L69">
        <v>0</v>
      </c>
      <c r="M69" t="s">
        <v>71</v>
      </c>
      <c r="N69">
        <v>2020</v>
      </c>
    </row>
    <row r="70" spans="1:14" x14ac:dyDescent="0.25">
      <c r="A70">
        <v>69</v>
      </c>
      <c r="B70">
        <v>43945</v>
      </c>
      <c r="C70" t="s">
        <v>56</v>
      </c>
      <c r="D70" t="s">
        <v>14</v>
      </c>
      <c r="E70" t="s">
        <v>15</v>
      </c>
      <c r="F70" t="s">
        <v>36</v>
      </c>
      <c r="G70">
        <v>1</v>
      </c>
      <c r="H70" t="s">
        <v>57</v>
      </c>
      <c r="I70" t="s">
        <v>25</v>
      </c>
      <c r="J70" t="s">
        <v>26</v>
      </c>
      <c r="K70" t="s">
        <v>50</v>
      </c>
      <c r="L70">
        <v>3954</v>
      </c>
      <c r="M70" t="s">
        <v>71</v>
      </c>
      <c r="N70">
        <v>2020</v>
      </c>
    </row>
    <row r="71" spans="1:14" x14ac:dyDescent="0.25">
      <c r="A71">
        <v>70</v>
      </c>
      <c r="B71">
        <v>43946</v>
      </c>
      <c r="C71" t="s">
        <v>28</v>
      </c>
      <c r="D71" t="s">
        <v>33</v>
      </c>
      <c r="E71" t="s">
        <v>47</v>
      </c>
      <c r="F71" t="s">
        <v>62</v>
      </c>
      <c r="G71">
        <v>0</v>
      </c>
      <c r="H71" t="s">
        <v>57</v>
      </c>
      <c r="I71" t="s">
        <v>18</v>
      </c>
      <c r="J71" t="s">
        <v>26</v>
      </c>
      <c r="K71" t="s">
        <v>43</v>
      </c>
      <c r="L71">
        <v>0</v>
      </c>
      <c r="M71" t="s">
        <v>71</v>
      </c>
      <c r="N71">
        <v>2020</v>
      </c>
    </row>
    <row r="72" spans="1:14" x14ac:dyDescent="0.25">
      <c r="A72">
        <v>71</v>
      </c>
      <c r="B72">
        <v>43948</v>
      </c>
      <c r="C72" t="s">
        <v>65</v>
      </c>
      <c r="D72" t="s">
        <v>33</v>
      </c>
      <c r="E72" t="s">
        <v>47</v>
      </c>
      <c r="F72" t="s">
        <v>63</v>
      </c>
      <c r="G72">
        <v>0</v>
      </c>
      <c r="H72" t="s">
        <v>45</v>
      </c>
      <c r="I72" t="s">
        <v>18</v>
      </c>
      <c r="J72" t="s">
        <v>26</v>
      </c>
      <c r="K72" t="s">
        <v>43</v>
      </c>
      <c r="L72">
        <v>0</v>
      </c>
      <c r="M72" t="s">
        <v>71</v>
      </c>
      <c r="N72">
        <v>2020</v>
      </c>
    </row>
    <row r="73" spans="1:14" x14ac:dyDescent="0.25">
      <c r="A73">
        <v>72</v>
      </c>
      <c r="B73">
        <v>43953</v>
      </c>
      <c r="C73" t="s">
        <v>32</v>
      </c>
      <c r="D73" t="s">
        <v>14</v>
      </c>
      <c r="E73" t="s">
        <v>15</v>
      </c>
      <c r="F73" t="s">
        <v>36</v>
      </c>
      <c r="G73">
        <v>0</v>
      </c>
      <c r="H73" t="s">
        <v>60</v>
      </c>
      <c r="I73" t="s">
        <v>53</v>
      </c>
      <c r="J73" t="s">
        <v>26</v>
      </c>
      <c r="K73" t="s">
        <v>50</v>
      </c>
      <c r="L73">
        <v>2461</v>
      </c>
      <c r="M73" t="s">
        <v>72</v>
      </c>
      <c r="N73">
        <v>2020</v>
      </c>
    </row>
    <row r="74" spans="1:14" x14ac:dyDescent="0.25">
      <c r="A74">
        <v>73</v>
      </c>
      <c r="B74">
        <v>43955</v>
      </c>
      <c r="C74" t="s">
        <v>61</v>
      </c>
      <c r="D74" t="s">
        <v>14</v>
      </c>
      <c r="E74" t="s">
        <v>42</v>
      </c>
      <c r="F74" t="s">
        <v>29</v>
      </c>
      <c r="G74">
        <v>0</v>
      </c>
      <c r="H74" t="s">
        <v>60</v>
      </c>
      <c r="I74" t="s">
        <v>53</v>
      </c>
      <c r="J74" t="s">
        <v>26</v>
      </c>
      <c r="K74" t="s">
        <v>31</v>
      </c>
      <c r="L74">
        <v>3851</v>
      </c>
      <c r="M74" t="s">
        <v>72</v>
      </c>
      <c r="N74">
        <v>2020</v>
      </c>
    </row>
    <row r="75" spans="1:14" x14ac:dyDescent="0.25">
      <c r="A75">
        <v>74</v>
      </c>
      <c r="B75">
        <v>43956</v>
      </c>
      <c r="C75" t="s">
        <v>44</v>
      </c>
      <c r="D75" t="s">
        <v>14</v>
      </c>
      <c r="E75" t="s">
        <v>15</v>
      </c>
      <c r="F75" t="s">
        <v>16</v>
      </c>
      <c r="G75">
        <v>0</v>
      </c>
      <c r="H75" t="s">
        <v>49</v>
      </c>
      <c r="I75" t="s">
        <v>39</v>
      </c>
      <c r="J75" t="s">
        <v>46</v>
      </c>
      <c r="K75" t="s">
        <v>54</v>
      </c>
      <c r="L75">
        <v>224</v>
      </c>
      <c r="M75" t="s">
        <v>72</v>
      </c>
      <c r="N75">
        <v>2020</v>
      </c>
    </row>
    <row r="76" spans="1:14" x14ac:dyDescent="0.25">
      <c r="A76">
        <v>75</v>
      </c>
      <c r="B76">
        <v>43958</v>
      </c>
      <c r="C76" t="s">
        <v>41</v>
      </c>
      <c r="D76" t="s">
        <v>14</v>
      </c>
      <c r="E76" t="s">
        <v>34</v>
      </c>
      <c r="F76" t="s">
        <v>36</v>
      </c>
      <c r="G76">
        <v>4</v>
      </c>
      <c r="H76" t="s">
        <v>49</v>
      </c>
      <c r="I76" t="s">
        <v>25</v>
      </c>
      <c r="J76" t="s">
        <v>46</v>
      </c>
      <c r="K76" t="s">
        <v>54</v>
      </c>
      <c r="L76">
        <v>3969</v>
      </c>
      <c r="M76" t="s">
        <v>72</v>
      </c>
      <c r="N76">
        <v>2020</v>
      </c>
    </row>
    <row r="77" spans="1:14" x14ac:dyDescent="0.25">
      <c r="A77">
        <v>76</v>
      </c>
      <c r="B77">
        <v>43959</v>
      </c>
      <c r="C77" t="s">
        <v>51</v>
      </c>
      <c r="D77" t="s">
        <v>14</v>
      </c>
      <c r="E77" t="s">
        <v>15</v>
      </c>
      <c r="F77" t="s">
        <v>16</v>
      </c>
      <c r="G77">
        <v>0</v>
      </c>
      <c r="H77" t="s">
        <v>24</v>
      </c>
      <c r="I77" t="s">
        <v>39</v>
      </c>
      <c r="J77" t="s">
        <v>46</v>
      </c>
      <c r="K77" t="s">
        <v>31</v>
      </c>
      <c r="L77">
        <v>434</v>
      </c>
      <c r="M77" t="s">
        <v>72</v>
      </c>
      <c r="N77">
        <v>2020</v>
      </c>
    </row>
    <row r="78" spans="1:14" x14ac:dyDescent="0.25">
      <c r="A78">
        <v>77</v>
      </c>
      <c r="B78">
        <v>43959</v>
      </c>
      <c r="C78" t="s">
        <v>41</v>
      </c>
      <c r="D78" t="s">
        <v>14</v>
      </c>
      <c r="E78" t="s">
        <v>47</v>
      </c>
      <c r="F78" t="s">
        <v>38</v>
      </c>
      <c r="G78">
        <v>1</v>
      </c>
      <c r="H78" t="s">
        <v>37</v>
      </c>
      <c r="I78" t="s">
        <v>25</v>
      </c>
      <c r="J78" t="s">
        <v>46</v>
      </c>
      <c r="K78" t="s">
        <v>59</v>
      </c>
      <c r="L78">
        <v>1173</v>
      </c>
      <c r="M78" t="s">
        <v>72</v>
      </c>
      <c r="N78">
        <v>2020</v>
      </c>
    </row>
    <row r="79" spans="1:14" x14ac:dyDescent="0.25">
      <c r="A79">
        <v>78</v>
      </c>
      <c r="B79">
        <v>43960</v>
      </c>
      <c r="C79" t="s">
        <v>28</v>
      </c>
      <c r="D79" t="s">
        <v>14</v>
      </c>
      <c r="E79" t="s">
        <v>34</v>
      </c>
      <c r="F79" t="s">
        <v>48</v>
      </c>
      <c r="G79">
        <v>0</v>
      </c>
      <c r="H79" t="s">
        <v>24</v>
      </c>
      <c r="I79" t="s">
        <v>39</v>
      </c>
      <c r="J79" t="s">
        <v>19</v>
      </c>
      <c r="K79" t="s">
        <v>50</v>
      </c>
      <c r="L79">
        <v>236</v>
      </c>
      <c r="M79" t="s">
        <v>72</v>
      </c>
      <c r="N79">
        <v>2020</v>
      </c>
    </row>
    <row r="80" spans="1:14" x14ac:dyDescent="0.25">
      <c r="A80">
        <v>79</v>
      </c>
      <c r="B80">
        <v>43961</v>
      </c>
      <c r="C80" t="s">
        <v>65</v>
      </c>
      <c r="D80" t="s">
        <v>14</v>
      </c>
      <c r="E80" t="s">
        <v>47</v>
      </c>
      <c r="F80" t="s">
        <v>36</v>
      </c>
      <c r="G80">
        <v>0</v>
      </c>
      <c r="H80" t="s">
        <v>17</v>
      </c>
      <c r="I80" t="s">
        <v>18</v>
      </c>
      <c r="J80" t="s">
        <v>26</v>
      </c>
      <c r="K80" t="s">
        <v>31</v>
      </c>
      <c r="L80">
        <v>0</v>
      </c>
      <c r="M80" t="s">
        <v>72</v>
      </c>
      <c r="N80">
        <v>2020</v>
      </c>
    </row>
    <row r="81" spans="1:14" x14ac:dyDescent="0.25">
      <c r="A81">
        <v>80</v>
      </c>
      <c r="B81">
        <v>43961</v>
      </c>
      <c r="C81" t="s">
        <v>44</v>
      </c>
      <c r="D81" t="s">
        <v>14</v>
      </c>
      <c r="E81" t="s">
        <v>47</v>
      </c>
      <c r="F81" t="s">
        <v>38</v>
      </c>
      <c r="G81">
        <v>1.5</v>
      </c>
      <c r="H81" t="s">
        <v>57</v>
      </c>
      <c r="I81" t="s">
        <v>25</v>
      </c>
      <c r="J81" t="s">
        <v>46</v>
      </c>
      <c r="K81" t="s">
        <v>50</v>
      </c>
      <c r="L81">
        <v>1592</v>
      </c>
      <c r="M81" t="s">
        <v>72</v>
      </c>
      <c r="N81">
        <v>2020</v>
      </c>
    </row>
    <row r="82" spans="1:14" x14ac:dyDescent="0.25">
      <c r="A82">
        <v>81</v>
      </c>
      <c r="B82">
        <v>43962</v>
      </c>
      <c r="C82" t="s">
        <v>64</v>
      </c>
      <c r="D82" t="s">
        <v>14</v>
      </c>
      <c r="E82" t="s">
        <v>47</v>
      </c>
      <c r="F82" t="s">
        <v>63</v>
      </c>
      <c r="G82">
        <v>0</v>
      </c>
      <c r="H82" t="s">
        <v>30</v>
      </c>
      <c r="I82" t="s">
        <v>18</v>
      </c>
      <c r="J82" t="s">
        <v>46</v>
      </c>
      <c r="K82" t="s">
        <v>52</v>
      </c>
      <c r="L82">
        <v>0</v>
      </c>
      <c r="M82" t="s">
        <v>72</v>
      </c>
      <c r="N82">
        <v>2020</v>
      </c>
    </row>
    <row r="83" spans="1:14" x14ac:dyDescent="0.25">
      <c r="A83">
        <v>82</v>
      </c>
      <c r="B83">
        <v>43964</v>
      </c>
      <c r="C83" t="s">
        <v>44</v>
      </c>
      <c r="D83" t="s">
        <v>14</v>
      </c>
      <c r="E83" t="s">
        <v>15</v>
      </c>
      <c r="F83" t="s">
        <v>48</v>
      </c>
      <c r="G83">
        <v>0</v>
      </c>
      <c r="H83" t="s">
        <v>57</v>
      </c>
      <c r="I83" t="s">
        <v>18</v>
      </c>
      <c r="J83" t="s">
        <v>19</v>
      </c>
      <c r="K83" t="s">
        <v>59</v>
      </c>
      <c r="L83">
        <v>0</v>
      </c>
      <c r="M83" t="s">
        <v>72</v>
      </c>
      <c r="N83">
        <v>2020</v>
      </c>
    </row>
    <row r="84" spans="1:14" x14ac:dyDescent="0.25">
      <c r="A84">
        <v>83</v>
      </c>
      <c r="B84">
        <v>43964</v>
      </c>
      <c r="C84" t="s">
        <v>41</v>
      </c>
      <c r="D84" t="s">
        <v>14</v>
      </c>
      <c r="E84" t="s">
        <v>22</v>
      </c>
      <c r="F84" t="s">
        <v>29</v>
      </c>
      <c r="G84">
        <v>0</v>
      </c>
      <c r="H84" t="s">
        <v>60</v>
      </c>
      <c r="I84" t="s">
        <v>39</v>
      </c>
      <c r="J84" t="s">
        <v>46</v>
      </c>
      <c r="K84" t="s">
        <v>50</v>
      </c>
      <c r="L84">
        <v>457</v>
      </c>
      <c r="M84" t="s">
        <v>72</v>
      </c>
      <c r="N84">
        <v>2020</v>
      </c>
    </row>
    <row r="85" spans="1:14" x14ac:dyDescent="0.25">
      <c r="A85">
        <v>84</v>
      </c>
      <c r="B85">
        <v>43968</v>
      </c>
      <c r="C85" t="s">
        <v>21</v>
      </c>
      <c r="D85" t="s">
        <v>14</v>
      </c>
      <c r="E85" t="s">
        <v>15</v>
      </c>
      <c r="F85" t="s">
        <v>29</v>
      </c>
      <c r="G85">
        <v>0</v>
      </c>
      <c r="H85" t="s">
        <v>37</v>
      </c>
      <c r="I85" t="s">
        <v>18</v>
      </c>
      <c r="J85" t="s">
        <v>26</v>
      </c>
      <c r="K85" t="s">
        <v>40</v>
      </c>
      <c r="L85">
        <v>0</v>
      </c>
      <c r="M85" t="s">
        <v>72</v>
      </c>
      <c r="N85">
        <v>2020</v>
      </c>
    </row>
    <row r="86" spans="1:14" x14ac:dyDescent="0.25">
      <c r="A86">
        <v>85</v>
      </c>
      <c r="B86">
        <v>43968</v>
      </c>
      <c r="C86" t="s">
        <v>61</v>
      </c>
      <c r="D86" t="s">
        <v>14</v>
      </c>
      <c r="E86" t="s">
        <v>42</v>
      </c>
      <c r="F86" t="s">
        <v>48</v>
      </c>
      <c r="G86">
        <v>0</v>
      </c>
      <c r="H86" t="s">
        <v>37</v>
      </c>
      <c r="I86" t="s">
        <v>39</v>
      </c>
      <c r="J86" t="s">
        <v>19</v>
      </c>
      <c r="K86" t="s">
        <v>40</v>
      </c>
      <c r="L86">
        <v>247</v>
      </c>
      <c r="M86" t="s">
        <v>72</v>
      </c>
      <c r="N86">
        <v>2020</v>
      </c>
    </row>
    <row r="87" spans="1:14" x14ac:dyDescent="0.25">
      <c r="A87">
        <v>86</v>
      </c>
      <c r="B87">
        <v>43970</v>
      </c>
      <c r="C87" t="s">
        <v>58</v>
      </c>
      <c r="D87" t="s">
        <v>14</v>
      </c>
      <c r="E87" t="s">
        <v>22</v>
      </c>
      <c r="F87" t="s">
        <v>38</v>
      </c>
      <c r="G87">
        <v>0</v>
      </c>
      <c r="H87" t="s">
        <v>30</v>
      </c>
      <c r="I87" t="s">
        <v>39</v>
      </c>
      <c r="J87" t="s">
        <v>46</v>
      </c>
      <c r="K87" t="s">
        <v>31</v>
      </c>
      <c r="L87">
        <v>457</v>
      </c>
      <c r="M87" t="s">
        <v>72</v>
      </c>
      <c r="N87">
        <v>2020</v>
      </c>
    </row>
    <row r="88" spans="1:14" x14ac:dyDescent="0.25">
      <c r="A88">
        <v>87</v>
      </c>
      <c r="B88">
        <v>43972</v>
      </c>
      <c r="C88" t="s">
        <v>56</v>
      </c>
      <c r="D88" t="s">
        <v>14</v>
      </c>
      <c r="E88" t="s">
        <v>42</v>
      </c>
      <c r="F88" t="s">
        <v>35</v>
      </c>
      <c r="G88">
        <v>0</v>
      </c>
      <c r="H88" t="s">
        <v>60</v>
      </c>
      <c r="I88" t="s">
        <v>18</v>
      </c>
      <c r="J88" t="s">
        <v>19</v>
      </c>
      <c r="K88" t="s">
        <v>40</v>
      </c>
      <c r="L88">
        <v>0</v>
      </c>
      <c r="M88" t="s">
        <v>72</v>
      </c>
      <c r="N88">
        <v>2020</v>
      </c>
    </row>
    <row r="89" spans="1:14" x14ac:dyDescent="0.25">
      <c r="A89">
        <v>88</v>
      </c>
      <c r="B89">
        <v>43973</v>
      </c>
      <c r="C89" t="s">
        <v>65</v>
      </c>
      <c r="D89" t="s">
        <v>14</v>
      </c>
      <c r="E89" t="s">
        <v>15</v>
      </c>
      <c r="F89" t="s">
        <v>35</v>
      </c>
      <c r="G89">
        <v>0</v>
      </c>
      <c r="H89" t="s">
        <v>37</v>
      </c>
      <c r="I89" t="s">
        <v>39</v>
      </c>
      <c r="J89" t="s">
        <v>26</v>
      </c>
      <c r="K89" t="s">
        <v>59</v>
      </c>
      <c r="L89">
        <v>305</v>
      </c>
      <c r="M89" t="s">
        <v>72</v>
      </c>
      <c r="N89">
        <v>2020</v>
      </c>
    </row>
    <row r="90" spans="1:14" x14ac:dyDescent="0.25">
      <c r="A90">
        <v>89</v>
      </c>
      <c r="B90">
        <v>43974</v>
      </c>
      <c r="C90" t="s">
        <v>41</v>
      </c>
      <c r="D90" t="s">
        <v>14</v>
      </c>
      <c r="E90" t="s">
        <v>47</v>
      </c>
      <c r="F90" t="s">
        <v>36</v>
      </c>
      <c r="G90">
        <v>0</v>
      </c>
      <c r="H90" t="s">
        <v>57</v>
      </c>
      <c r="I90" t="s">
        <v>18</v>
      </c>
      <c r="J90" t="s">
        <v>19</v>
      </c>
      <c r="K90" t="s">
        <v>31</v>
      </c>
      <c r="L90">
        <v>0</v>
      </c>
      <c r="M90" t="s">
        <v>72</v>
      </c>
      <c r="N90">
        <v>2020</v>
      </c>
    </row>
    <row r="91" spans="1:14" x14ac:dyDescent="0.25">
      <c r="A91">
        <v>90</v>
      </c>
      <c r="B91">
        <v>43976</v>
      </c>
      <c r="C91" t="s">
        <v>61</v>
      </c>
      <c r="D91" t="s">
        <v>14</v>
      </c>
      <c r="E91" t="s">
        <v>22</v>
      </c>
      <c r="F91" t="s">
        <v>38</v>
      </c>
      <c r="G91">
        <v>0.5</v>
      </c>
      <c r="H91" t="s">
        <v>49</v>
      </c>
      <c r="I91" t="s">
        <v>25</v>
      </c>
      <c r="J91" t="s">
        <v>19</v>
      </c>
      <c r="K91" t="s">
        <v>43</v>
      </c>
      <c r="L91">
        <v>2468</v>
      </c>
      <c r="M91" t="s">
        <v>72</v>
      </c>
      <c r="N91">
        <v>2020</v>
      </c>
    </row>
    <row r="92" spans="1:14" x14ac:dyDescent="0.25">
      <c r="A92">
        <v>91</v>
      </c>
      <c r="B92">
        <v>43977</v>
      </c>
      <c r="C92" t="s">
        <v>51</v>
      </c>
      <c r="D92" t="s">
        <v>14</v>
      </c>
      <c r="E92" t="s">
        <v>22</v>
      </c>
      <c r="F92" t="s">
        <v>16</v>
      </c>
      <c r="G92">
        <v>0.5</v>
      </c>
      <c r="H92" t="s">
        <v>45</v>
      </c>
      <c r="I92" t="s">
        <v>25</v>
      </c>
      <c r="J92" t="s">
        <v>19</v>
      </c>
      <c r="K92" t="s">
        <v>54</v>
      </c>
      <c r="L92">
        <v>786</v>
      </c>
      <c r="M92" t="s">
        <v>72</v>
      </c>
      <c r="N92">
        <v>2020</v>
      </c>
    </row>
    <row r="93" spans="1:14" x14ac:dyDescent="0.25">
      <c r="A93">
        <v>92</v>
      </c>
      <c r="B93">
        <v>43977</v>
      </c>
      <c r="C93" t="s">
        <v>28</v>
      </c>
      <c r="D93" t="s">
        <v>14</v>
      </c>
      <c r="E93" t="s">
        <v>15</v>
      </c>
      <c r="F93" t="s">
        <v>36</v>
      </c>
      <c r="G93">
        <v>0</v>
      </c>
      <c r="H93" t="s">
        <v>24</v>
      </c>
      <c r="I93" t="s">
        <v>53</v>
      </c>
      <c r="J93" t="s">
        <v>26</v>
      </c>
      <c r="K93" t="s">
        <v>31</v>
      </c>
      <c r="L93">
        <v>2481</v>
      </c>
      <c r="M93" t="s">
        <v>72</v>
      </c>
      <c r="N93">
        <v>2020</v>
      </c>
    </row>
    <row r="94" spans="1:14" x14ac:dyDescent="0.25">
      <c r="A94">
        <v>93</v>
      </c>
      <c r="B94">
        <v>43980</v>
      </c>
      <c r="C94" t="s">
        <v>51</v>
      </c>
      <c r="D94" t="s">
        <v>14</v>
      </c>
      <c r="E94" t="s">
        <v>15</v>
      </c>
      <c r="F94" t="s">
        <v>16</v>
      </c>
      <c r="G94">
        <v>0.5</v>
      </c>
      <c r="H94" t="s">
        <v>45</v>
      </c>
      <c r="I94" t="s">
        <v>25</v>
      </c>
      <c r="J94" t="s">
        <v>26</v>
      </c>
      <c r="K94" t="s">
        <v>52</v>
      </c>
      <c r="L94">
        <v>674</v>
      </c>
      <c r="M94" t="s">
        <v>72</v>
      </c>
      <c r="N94">
        <v>2020</v>
      </c>
    </row>
    <row r="95" spans="1:14" x14ac:dyDescent="0.25">
      <c r="A95">
        <v>94</v>
      </c>
      <c r="B95">
        <v>43982</v>
      </c>
      <c r="C95" t="s">
        <v>61</v>
      </c>
      <c r="D95" t="s">
        <v>14</v>
      </c>
      <c r="E95" t="s">
        <v>22</v>
      </c>
      <c r="F95" t="s">
        <v>38</v>
      </c>
      <c r="G95">
        <v>0</v>
      </c>
      <c r="H95" t="s">
        <v>24</v>
      </c>
      <c r="I95" t="s">
        <v>18</v>
      </c>
      <c r="J95" t="s">
        <v>46</v>
      </c>
      <c r="K95" t="s">
        <v>43</v>
      </c>
      <c r="L95">
        <v>0</v>
      </c>
      <c r="M95" t="s">
        <v>72</v>
      </c>
      <c r="N95">
        <v>2020</v>
      </c>
    </row>
    <row r="96" spans="1:14" x14ac:dyDescent="0.25">
      <c r="A96">
        <v>95</v>
      </c>
      <c r="B96">
        <v>43982</v>
      </c>
      <c r="C96" t="s">
        <v>32</v>
      </c>
      <c r="D96" t="s">
        <v>14</v>
      </c>
      <c r="E96" t="s">
        <v>34</v>
      </c>
      <c r="F96" t="s">
        <v>36</v>
      </c>
      <c r="G96">
        <v>0</v>
      </c>
      <c r="H96" t="s">
        <v>24</v>
      </c>
      <c r="I96" t="s">
        <v>18</v>
      </c>
      <c r="J96" t="s">
        <v>19</v>
      </c>
      <c r="K96" t="s">
        <v>52</v>
      </c>
      <c r="L96">
        <v>0</v>
      </c>
      <c r="M96" t="s">
        <v>72</v>
      </c>
      <c r="N96">
        <v>2020</v>
      </c>
    </row>
    <row r="97" spans="1:14" x14ac:dyDescent="0.25">
      <c r="A97">
        <v>96</v>
      </c>
      <c r="B97">
        <v>43984</v>
      </c>
      <c r="C97" t="s">
        <v>44</v>
      </c>
      <c r="D97" t="s">
        <v>14</v>
      </c>
      <c r="E97" t="s">
        <v>34</v>
      </c>
      <c r="F97" t="s">
        <v>63</v>
      </c>
      <c r="G97">
        <v>0</v>
      </c>
      <c r="H97" t="s">
        <v>30</v>
      </c>
      <c r="I97" t="s">
        <v>18</v>
      </c>
      <c r="J97" t="s">
        <v>19</v>
      </c>
      <c r="K97" t="s">
        <v>52</v>
      </c>
      <c r="L97">
        <v>0</v>
      </c>
      <c r="M97" t="s">
        <v>73</v>
      </c>
      <c r="N97">
        <v>2020</v>
      </c>
    </row>
    <row r="98" spans="1:14" x14ac:dyDescent="0.25">
      <c r="A98">
        <v>97</v>
      </c>
      <c r="B98">
        <v>43989</v>
      </c>
      <c r="C98" t="s">
        <v>32</v>
      </c>
      <c r="D98" t="s">
        <v>14</v>
      </c>
      <c r="E98" t="s">
        <v>15</v>
      </c>
      <c r="F98" t="s">
        <v>62</v>
      </c>
      <c r="G98">
        <v>0</v>
      </c>
      <c r="H98" t="s">
        <v>30</v>
      </c>
      <c r="I98" t="s">
        <v>18</v>
      </c>
      <c r="J98" t="s">
        <v>46</v>
      </c>
      <c r="K98" t="s">
        <v>52</v>
      </c>
      <c r="L98">
        <v>0</v>
      </c>
      <c r="M98" t="s">
        <v>73</v>
      </c>
      <c r="N98">
        <v>2020</v>
      </c>
    </row>
    <row r="99" spans="1:14" x14ac:dyDescent="0.25">
      <c r="A99">
        <v>98</v>
      </c>
      <c r="B99">
        <v>43992</v>
      </c>
      <c r="C99" t="s">
        <v>56</v>
      </c>
      <c r="D99" t="s">
        <v>14</v>
      </c>
      <c r="E99" t="s">
        <v>15</v>
      </c>
      <c r="F99" t="s">
        <v>62</v>
      </c>
      <c r="G99">
        <v>2.5</v>
      </c>
      <c r="H99" t="s">
        <v>37</v>
      </c>
      <c r="I99" t="s">
        <v>25</v>
      </c>
      <c r="J99" t="s">
        <v>46</v>
      </c>
      <c r="K99" t="s">
        <v>52</v>
      </c>
      <c r="L99">
        <v>2370</v>
      </c>
      <c r="M99" t="s">
        <v>73</v>
      </c>
      <c r="N99">
        <v>2020</v>
      </c>
    </row>
    <row r="100" spans="1:14" x14ac:dyDescent="0.25">
      <c r="A100">
        <v>99</v>
      </c>
      <c r="B100">
        <v>43993</v>
      </c>
      <c r="C100" t="s">
        <v>58</v>
      </c>
      <c r="D100" t="s">
        <v>14</v>
      </c>
      <c r="E100" t="s">
        <v>47</v>
      </c>
      <c r="F100" t="s">
        <v>35</v>
      </c>
      <c r="G100">
        <v>0</v>
      </c>
      <c r="H100" t="s">
        <v>45</v>
      </c>
      <c r="I100" t="s">
        <v>53</v>
      </c>
      <c r="J100" t="s">
        <v>46</v>
      </c>
      <c r="K100" t="s">
        <v>43</v>
      </c>
      <c r="L100">
        <v>1121</v>
      </c>
      <c r="M100" t="s">
        <v>73</v>
      </c>
      <c r="N100">
        <v>2020</v>
      </c>
    </row>
    <row r="101" spans="1:14" x14ac:dyDescent="0.25">
      <c r="A101">
        <v>100</v>
      </c>
      <c r="B101">
        <v>43994</v>
      </c>
      <c r="C101" t="s">
        <v>28</v>
      </c>
      <c r="D101" t="s">
        <v>14</v>
      </c>
      <c r="E101" t="s">
        <v>15</v>
      </c>
      <c r="F101" t="s">
        <v>63</v>
      </c>
      <c r="G101">
        <v>0</v>
      </c>
      <c r="H101" t="s">
        <v>45</v>
      </c>
      <c r="I101" t="s">
        <v>53</v>
      </c>
      <c r="J101" t="s">
        <v>26</v>
      </c>
      <c r="K101" t="s">
        <v>50</v>
      </c>
      <c r="L101">
        <v>3269</v>
      </c>
      <c r="M101" t="s">
        <v>73</v>
      </c>
      <c r="N101">
        <v>2020</v>
      </c>
    </row>
    <row r="102" spans="1:14" x14ac:dyDescent="0.25">
      <c r="A102">
        <v>101</v>
      </c>
      <c r="B102">
        <v>43997</v>
      </c>
      <c r="C102" t="s">
        <v>32</v>
      </c>
      <c r="D102" t="s">
        <v>14</v>
      </c>
      <c r="E102" t="s">
        <v>47</v>
      </c>
      <c r="F102" t="s">
        <v>36</v>
      </c>
      <c r="G102">
        <v>0</v>
      </c>
      <c r="H102" t="s">
        <v>60</v>
      </c>
      <c r="I102" t="s">
        <v>39</v>
      </c>
      <c r="J102" t="s">
        <v>26</v>
      </c>
      <c r="K102" t="s">
        <v>20</v>
      </c>
      <c r="L102">
        <v>249</v>
      </c>
      <c r="M102" t="s">
        <v>73</v>
      </c>
      <c r="N102">
        <v>2020</v>
      </c>
    </row>
    <row r="103" spans="1:14" x14ac:dyDescent="0.25">
      <c r="A103">
        <v>102</v>
      </c>
      <c r="B103">
        <v>43997</v>
      </c>
      <c r="C103" t="s">
        <v>13</v>
      </c>
      <c r="D103" t="s">
        <v>14</v>
      </c>
      <c r="E103" t="s">
        <v>22</v>
      </c>
      <c r="F103" t="s">
        <v>16</v>
      </c>
      <c r="G103">
        <v>0</v>
      </c>
      <c r="H103" t="s">
        <v>60</v>
      </c>
      <c r="I103" t="s">
        <v>39</v>
      </c>
      <c r="J103" t="s">
        <v>46</v>
      </c>
      <c r="K103" t="s">
        <v>52</v>
      </c>
      <c r="L103">
        <v>423</v>
      </c>
      <c r="M103" t="s">
        <v>73</v>
      </c>
      <c r="N103">
        <v>2020</v>
      </c>
    </row>
    <row r="104" spans="1:14" x14ac:dyDescent="0.25">
      <c r="A104">
        <v>103</v>
      </c>
      <c r="B104">
        <v>43998</v>
      </c>
      <c r="C104" t="s">
        <v>44</v>
      </c>
      <c r="D104" t="s">
        <v>14</v>
      </c>
      <c r="E104" t="s">
        <v>15</v>
      </c>
      <c r="F104" t="s">
        <v>35</v>
      </c>
      <c r="G104">
        <v>0</v>
      </c>
      <c r="H104" t="s">
        <v>30</v>
      </c>
      <c r="I104" t="s">
        <v>53</v>
      </c>
      <c r="J104" t="s">
        <v>26</v>
      </c>
      <c r="K104" t="s">
        <v>50</v>
      </c>
      <c r="L104">
        <v>3397</v>
      </c>
      <c r="M104" t="s">
        <v>73</v>
      </c>
      <c r="N104">
        <v>2020</v>
      </c>
    </row>
    <row r="105" spans="1:14" x14ac:dyDescent="0.25">
      <c r="A105">
        <v>104</v>
      </c>
      <c r="B105">
        <v>44001</v>
      </c>
      <c r="C105" t="s">
        <v>61</v>
      </c>
      <c r="D105" t="s">
        <v>33</v>
      </c>
      <c r="E105" t="s">
        <v>15</v>
      </c>
      <c r="F105" t="s">
        <v>35</v>
      </c>
      <c r="G105">
        <v>0</v>
      </c>
      <c r="H105" t="s">
        <v>45</v>
      </c>
      <c r="I105" t="s">
        <v>53</v>
      </c>
      <c r="J105" t="s">
        <v>26</v>
      </c>
      <c r="K105" t="s">
        <v>27</v>
      </c>
      <c r="L105">
        <v>4016</v>
      </c>
      <c r="M105" t="s">
        <v>73</v>
      </c>
      <c r="N105">
        <v>2020</v>
      </c>
    </row>
    <row r="106" spans="1:14" x14ac:dyDescent="0.25">
      <c r="A106">
        <v>105</v>
      </c>
      <c r="B106">
        <v>44005</v>
      </c>
      <c r="C106" t="s">
        <v>58</v>
      </c>
      <c r="D106" t="s">
        <v>14</v>
      </c>
      <c r="E106" t="s">
        <v>34</v>
      </c>
      <c r="F106" t="s">
        <v>63</v>
      </c>
      <c r="G106">
        <v>0</v>
      </c>
      <c r="H106" t="s">
        <v>57</v>
      </c>
      <c r="I106" t="s">
        <v>53</v>
      </c>
      <c r="J106" t="s">
        <v>19</v>
      </c>
      <c r="K106" t="s">
        <v>50</v>
      </c>
      <c r="L106">
        <v>2387</v>
      </c>
      <c r="M106" t="s">
        <v>73</v>
      </c>
      <c r="N106">
        <v>2020</v>
      </c>
    </row>
    <row r="107" spans="1:14" x14ac:dyDescent="0.25">
      <c r="A107">
        <v>106</v>
      </c>
      <c r="B107">
        <v>44008</v>
      </c>
      <c r="C107" t="s">
        <v>32</v>
      </c>
      <c r="D107" t="s">
        <v>14</v>
      </c>
      <c r="E107" t="s">
        <v>34</v>
      </c>
      <c r="F107" t="s">
        <v>38</v>
      </c>
      <c r="G107">
        <v>0</v>
      </c>
      <c r="H107" t="s">
        <v>17</v>
      </c>
      <c r="I107" t="s">
        <v>18</v>
      </c>
      <c r="J107" t="s">
        <v>19</v>
      </c>
      <c r="K107" t="s">
        <v>31</v>
      </c>
      <c r="L107">
        <v>0</v>
      </c>
      <c r="M107" t="s">
        <v>73</v>
      </c>
      <c r="N107">
        <v>2020</v>
      </c>
    </row>
    <row r="108" spans="1:14" x14ac:dyDescent="0.25">
      <c r="A108">
        <v>107</v>
      </c>
      <c r="B108">
        <v>44009</v>
      </c>
      <c r="C108" t="s">
        <v>56</v>
      </c>
      <c r="D108" t="s">
        <v>14</v>
      </c>
      <c r="E108" t="s">
        <v>47</v>
      </c>
      <c r="F108" t="s">
        <v>63</v>
      </c>
      <c r="G108">
        <v>0</v>
      </c>
      <c r="H108" t="s">
        <v>57</v>
      </c>
      <c r="I108" t="s">
        <v>53</v>
      </c>
      <c r="J108" t="s">
        <v>19</v>
      </c>
      <c r="K108" t="s">
        <v>52</v>
      </c>
      <c r="L108">
        <v>4292</v>
      </c>
      <c r="M108" t="s">
        <v>73</v>
      </c>
      <c r="N108">
        <v>2020</v>
      </c>
    </row>
    <row r="109" spans="1:14" x14ac:dyDescent="0.25">
      <c r="A109">
        <v>108</v>
      </c>
      <c r="B109">
        <v>44010</v>
      </c>
      <c r="C109" t="s">
        <v>44</v>
      </c>
      <c r="D109" t="s">
        <v>33</v>
      </c>
      <c r="E109" t="s">
        <v>47</v>
      </c>
      <c r="F109" t="s">
        <v>62</v>
      </c>
      <c r="G109">
        <v>2</v>
      </c>
      <c r="H109" t="s">
        <v>24</v>
      </c>
      <c r="I109" t="s">
        <v>25</v>
      </c>
      <c r="J109" t="s">
        <v>26</v>
      </c>
      <c r="K109" t="s">
        <v>59</v>
      </c>
      <c r="L109">
        <v>1635</v>
      </c>
      <c r="M109" t="s">
        <v>73</v>
      </c>
      <c r="N109">
        <v>2020</v>
      </c>
    </row>
    <row r="110" spans="1:14" x14ac:dyDescent="0.25">
      <c r="A110">
        <v>109</v>
      </c>
      <c r="B110">
        <v>44012</v>
      </c>
      <c r="C110" t="s">
        <v>65</v>
      </c>
      <c r="D110" t="s">
        <v>14</v>
      </c>
      <c r="E110" t="s">
        <v>15</v>
      </c>
      <c r="F110" t="s">
        <v>38</v>
      </c>
      <c r="G110">
        <v>0</v>
      </c>
      <c r="H110" t="s">
        <v>49</v>
      </c>
      <c r="I110" t="s">
        <v>18</v>
      </c>
      <c r="J110" t="s">
        <v>46</v>
      </c>
      <c r="K110" t="s">
        <v>40</v>
      </c>
      <c r="L110">
        <v>0</v>
      </c>
      <c r="M110" t="s">
        <v>73</v>
      </c>
      <c r="N110">
        <v>2020</v>
      </c>
    </row>
    <row r="111" spans="1:14" x14ac:dyDescent="0.25">
      <c r="A111">
        <v>110</v>
      </c>
      <c r="B111">
        <v>44012</v>
      </c>
      <c r="C111" t="s">
        <v>41</v>
      </c>
      <c r="D111" t="s">
        <v>14</v>
      </c>
      <c r="E111" t="s">
        <v>34</v>
      </c>
      <c r="F111" t="s">
        <v>63</v>
      </c>
      <c r="G111">
        <v>5</v>
      </c>
      <c r="H111" t="s">
        <v>24</v>
      </c>
      <c r="I111" t="s">
        <v>25</v>
      </c>
      <c r="J111" t="s">
        <v>26</v>
      </c>
      <c r="K111" t="s">
        <v>40</v>
      </c>
      <c r="L111">
        <v>603</v>
      </c>
      <c r="M111" t="s">
        <v>73</v>
      </c>
      <c r="N111">
        <v>2020</v>
      </c>
    </row>
    <row r="112" spans="1:14" x14ac:dyDescent="0.25">
      <c r="A112">
        <v>111</v>
      </c>
      <c r="B112">
        <v>44013</v>
      </c>
      <c r="C112" t="s">
        <v>41</v>
      </c>
      <c r="D112" t="s">
        <v>14</v>
      </c>
      <c r="E112" t="s">
        <v>34</v>
      </c>
      <c r="F112" t="s">
        <v>36</v>
      </c>
      <c r="G112">
        <v>0</v>
      </c>
      <c r="H112" t="s">
        <v>24</v>
      </c>
      <c r="I112" t="s">
        <v>53</v>
      </c>
      <c r="J112" t="s">
        <v>19</v>
      </c>
      <c r="K112" t="s">
        <v>54</v>
      </c>
      <c r="L112">
        <v>1335</v>
      </c>
      <c r="M112" t="s">
        <v>74</v>
      </c>
      <c r="N112">
        <v>2020</v>
      </c>
    </row>
    <row r="113" spans="1:14" x14ac:dyDescent="0.25">
      <c r="A113">
        <v>112</v>
      </c>
      <c r="B113">
        <v>44018</v>
      </c>
      <c r="C113" t="s">
        <v>21</v>
      </c>
      <c r="D113" t="s">
        <v>33</v>
      </c>
      <c r="E113" t="s">
        <v>34</v>
      </c>
      <c r="F113" t="s">
        <v>62</v>
      </c>
      <c r="G113">
        <v>0</v>
      </c>
      <c r="H113" t="s">
        <v>37</v>
      </c>
      <c r="I113" t="s">
        <v>39</v>
      </c>
      <c r="J113" t="s">
        <v>26</v>
      </c>
      <c r="K113" t="s">
        <v>59</v>
      </c>
      <c r="L113">
        <v>250</v>
      </c>
      <c r="M113" t="s">
        <v>74</v>
      </c>
      <c r="N113">
        <v>2020</v>
      </c>
    </row>
    <row r="114" spans="1:14" x14ac:dyDescent="0.25">
      <c r="A114">
        <v>113</v>
      </c>
      <c r="B114">
        <v>44018</v>
      </c>
      <c r="C114" t="s">
        <v>41</v>
      </c>
      <c r="D114" t="s">
        <v>14</v>
      </c>
      <c r="E114" t="s">
        <v>34</v>
      </c>
      <c r="F114" t="s">
        <v>16</v>
      </c>
      <c r="G114">
        <v>2</v>
      </c>
      <c r="H114" t="s">
        <v>60</v>
      </c>
      <c r="I114" t="s">
        <v>25</v>
      </c>
      <c r="J114" t="s">
        <v>26</v>
      </c>
      <c r="K114" t="s">
        <v>40</v>
      </c>
      <c r="L114">
        <v>3203</v>
      </c>
      <c r="M114" t="s">
        <v>74</v>
      </c>
      <c r="N114">
        <v>2020</v>
      </c>
    </row>
    <row r="115" spans="1:14" x14ac:dyDescent="0.25">
      <c r="A115">
        <v>114</v>
      </c>
      <c r="B115">
        <v>44019</v>
      </c>
      <c r="C115" t="s">
        <v>56</v>
      </c>
      <c r="D115" t="s">
        <v>14</v>
      </c>
      <c r="E115" t="s">
        <v>22</v>
      </c>
      <c r="F115" t="s">
        <v>63</v>
      </c>
      <c r="G115">
        <v>0</v>
      </c>
      <c r="H115" t="s">
        <v>60</v>
      </c>
      <c r="I115" t="s">
        <v>53</v>
      </c>
      <c r="J115" t="s">
        <v>26</v>
      </c>
      <c r="K115" t="s">
        <v>50</v>
      </c>
      <c r="L115">
        <v>4246</v>
      </c>
      <c r="M115" t="s">
        <v>74</v>
      </c>
      <c r="N115">
        <v>2020</v>
      </c>
    </row>
    <row r="116" spans="1:14" x14ac:dyDescent="0.25">
      <c r="A116">
        <v>115</v>
      </c>
      <c r="B116">
        <v>44022</v>
      </c>
      <c r="C116" t="s">
        <v>64</v>
      </c>
      <c r="D116" t="s">
        <v>14</v>
      </c>
      <c r="E116" t="s">
        <v>47</v>
      </c>
      <c r="F116" t="s">
        <v>38</v>
      </c>
      <c r="G116">
        <v>0</v>
      </c>
      <c r="H116" t="s">
        <v>49</v>
      </c>
      <c r="I116" t="s">
        <v>53</v>
      </c>
      <c r="J116" t="s">
        <v>19</v>
      </c>
      <c r="K116" t="s">
        <v>59</v>
      </c>
      <c r="L116">
        <v>4229</v>
      </c>
      <c r="M116" t="s">
        <v>74</v>
      </c>
      <c r="N116">
        <v>2020</v>
      </c>
    </row>
    <row r="117" spans="1:14" x14ac:dyDescent="0.25">
      <c r="A117">
        <v>116</v>
      </c>
      <c r="B117">
        <v>44023</v>
      </c>
      <c r="C117" t="s">
        <v>51</v>
      </c>
      <c r="D117" t="s">
        <v>14</v>
      </c>
      <c r="E117" t="s">
        <v>15</v>
      </c>
      <c r="F117" t="s">
        <v>35</v>
      </c>
      <c r="G117">
        <v>1</v>
      </c>
      <c r="H117" t="s">
        <v>24</v>
      </c>
      <c r="I117" t="s">
        <v>25</v>
      </c>
      <c r="J117" t="s">
        <v>46</v>
      </c>
      <c r="K117" t="s">
        <v>31</v>
      </c>
      <c r="L117">
        <v>3256</v>
      </c>
      <c r="M117" t="s">
        <v>74</v>
      </c>
      <c r="N117">
        <v>2020</v>
      </c>
    </row>
    <row r="118" spans="1:14" x14ac:dyDescent="0.25">
      <c r="A118">
        <v>117</v>
      </c>
      <c r="B118">
        <v>44024</v>
      </c>
      <c r="C118" t="s">
        <v>65</v>
      </c>
      <c r="D118" t="s">
        <v>14</v>
      </c>
      <c r="E118" t="s">
        <v>22</v>
      </c>
      <c r="F118" t="s">
        <v>29</v>
      </c>
      <c r="G118">
        <v>4</v>
      </c>
      <c r="H118" t="s">
        <v>17</v>
      </c>
      <c r="I118" t="s">
        <v>25</v>
      </c>
      <c r="J118" t="s">
        <v>46</v>
      </c>
      <c r="K118" t="s">
        <v>54</v>
      </c>
      <c r="L118">
        <v>2861</v>
      </c>
      <c r="M118" t="s">
        <v>74</v>
      </c>
      <c r="N118">
        <v>2020</v>
      </c>
    </row>
    <row r="119" spans="1:14" x14ac:dyDescent="0.25">
      <c r="A119">
        <v>118</v>
      </c>
      <c r="B119">
        <v>44024</v>
      </c>
      <c r="C119" t="s">
        <v>28</v>
      </c>
      <c r="D119" t="s">
        <v>14</v>
      </c>
      <c r="E119" t="s">
        <v>34</v>
      </c>
      <c r="F119" t="s">
        <v>63</v>
      </c>
      <c r="G119">
        <v>0</v>
      </c>
      <c r="H119" t="s">
        <v>57</v>
      </c>
      <c r="I119" t="s">
        <v>39</v>
      </c>
      <c r="J119" t="s">
        <v>46</v>
      </c>
      <c r="K119" t="s">
        <v>59</v>
      </c>
      <c r="L119">
        <v>118</v>
      </c>
      <c r="M119" t="s">
        <v>74</v>
      </c>
      <c r="N119">
        <v>2020</v>
      </c>
    </row>
    <row r="120" spans="1:14" x14ac:dyDescent="0.25">
      <c r="A120">
        <v>119</v>
      </c>
      <c r="B120">
        <v>44025</v>
      </c>
      <c r="C120" t="s">
        <v>21</v>
      </c>
      <c r="D120" t="s">
        <v>14</v>
      </c>
      <c r="E120" t="s">
        <v>47</v>
      </c>
      <c r="F120" t="s">
        <v>62</v>
      </c>
      <c r="G120">
        <v>3.5</v>
      </c>
      <c r="H120" t="s">
        <v>37</v>
      </c>
      <c r="I120" t="s">
        <v>25</v>
      </c>
      <c r="J120" t="s">
        <v>26</v>
      </c>
      <c r="K120" t="s">
        <v>50</v>
      </c>
      <c r="L120">
        <v>3716</v>
      </c>
      <c r="M120" t="s">
        <v>74</v>
      </c>
      <c r="N120">
        <v>2020</v>
      </c>
    </row>
    <row r="121" spans="1:14" x14ac:dyDescent="0.25">
      <c r="A121">
        <v>120</v>
      </c>
      <c r="B121">
        <v>44026</v>
      </c>
      <c r="C121" t="s">
        <v>64</v>
      </c>
      <c r="D121" t="s">
        <v>14</v>
      </c>
      <c r="E121" t="s">
        <v>15</v>
      </c>
      <c r="F121" t="s">
        <v>38</v>
      </c>
      <c r="G121">
        <v>0</v>
      </c>
      <c r="H121" t="s">
        <v>57</v>
      </c>
      <c r="I121" t="s">
        <v>18</v>
      </c>
      <c r="J121" t="s">
        <v>26</v>
      </c>
      <c r="K121" t="s">
        <v>54</v>
      </c>
      <c r="L121">
        <v>0</v>
      </c>
      <c r="M121" t="s">
        <v>74</v>
      </c>
      <c r="N121">
        <v>2020</v>
      </c>
    </row>
    <row r="122" spans="1:14" x14ac:dyDescent="0.25">
      <c r="A122">
        <v>121</v>
      </c>
      <c r="B122">
        <v>44028</v>
      </c>
      <c r="C122" t="s">
        <v>61</v>
      </c>
      <c r="D122" t="s">
        <v>14</v>
      </c>
      <c r="E122" t="s">
        <v>22</v>
      </c>
      <c r="F122" t="s">
        <v>36</v>
      </c>
      <c r="G122">
        <v>0</v>
      </c>
      <c r="H122" t="s">
        <v>24</v>
      </c>
      <c r="I122" t="s">
        <v>18</v>
      </c>
      <c r="J122" t="s">
        <v>46</v>
      </c>
      <c r="K122" t="s">
        <v>50</v>
      </c>
      <c r="L122">
        <v>0</v>
      </c>
      <c r="M122" t="s">
        <v>74</v>
      </c>
      <c r="N122">
        <v>2020</v>
      </c>
    </row>
    <row r="123" spans="1:14" x14ac:dyDescent="0.25">
      <c r="A123">
        <v>122</v>
      </c>
      <c r="B123">
        <v>44030</v>
      </c>
      <c r="C123" t="s">
        <v>44</v>
      </c>
      <c r="D123" t="s">
        <v>14</v>
      </c>
      <c r="E123" t="s">
        <v>47</v>
      </c>
      <c r="F123" t="s">
        <v>29</v>
      </c>
      <c r="G123">
        <v>0</v>
      </c>
      <c r="H123" t="s">
        <v>17</v>
      </c>
      <c r="I123" t="s">
        <v>53</v>
      </c>
      <c r="J123" t="s">
        <v>46</v>
      </c>
      <c r="K123" t="s">
        <v>50</v>
      </c>
      <c r="L123">
        <v>532</v>
      </c>
      <c r="M123" t="s">
        <v>74</v>
      </c>
      <c r="N123">
        <v>2020</v>
      </c>
    </row>
    <row r="124" spans="1:14" x14ac:dyDescent="0.25">
      <c r="A124">
        <v>123</v>
      </c>
      <c r="B124">
        <v>44031</v>
      </c>
      <c r="C124" t="s">
        <v>56</v>
      </c>
      <c r="D124" t="s">
        <v>14</v>
      </c>
      <c r="E124" t="s">
        <v>15</v>
      </c>
      <c r="F124" t="s">
        <v>62</v>
      </c>
      <c r="G124">
        <v>0</v>
      </c>
      <c r="H124" t="s">
        <v>24</v>
      </c>
      <c r="I124" t="s">
        <v>18</v>
      </c>
      <c r="J124" t="s">
        <v>46</v>
      </c>
      <c r="K124" t="s">
        <v>20</v>
      </c>
      <c r="L124">
        <v>0</v>
      </c>
      <c r="M124" t="s">
        <v>74</v>
      </c>
      <c r="N124">
        <v>2020</v>
      </c>
    </row>
    <row r="125" spans="1:14" x14ac:dyDescent="0.25">
      <c r="A125">
        <v>124</v>
      </c>
      <c r="B125">
        <v>44034</v>
      </c>
      <c r="C125" t="s">
        <v>65</v>
      </c>
      <c r="D125" t="s">
        <v>14</v>
      </c>
      <c r="E125" t="s">
        <v>15</v>
      </c>
      <c r="F125" t="s">
        <v>36</v>
      </c>
      <c r="G125">
        <v>0</v>
      </c>
      <c r="H125" t="s">
        <v>24</v>
      </c>
      <c r="I125" t="s">
        <v>18</v>
      </c>
      <c r="J125" t="s">
        <v>26</v>
      </c>
      <c r="K125" t="s">
        <v>27</v>
      </c>
      <c r="L125">
        <v>0</v>
      </c>
      <c r="M125" t="s">
        <v>74</v>
      </c>
      <c r="N125">
        <v>2020</v>
      </c>
    </row>
    <row r="126" spans="1:14" x14ac:dyDescent="0.25">
      <c r="A126">
        <v>125</v>
      </c>
      <c r="B126">
        <v>44038</v>
      </c>
      <c r="C126" t="s">
        <v>21</v>
      </c>
      <c r="D126" t="s">
        <v>14</v>
      </c>
      <c r="E126" t="s">
        <v>34</v>
      </c>
      <c r="F126" t="s">
        <v>62</v>
      </c>
      <c r="G126">
        <v>5</v>
      </c>
      <c r="H126" t="s">
        <v>55</v>
      </c>
      <c r="I126" t="s">
        <v>25</v>
      </c>
      <c r="J126" t="s">
        <v>46</v>
      </c>
      <c r="K126" t="s">
        <v>59</v>
      </c>
      <c r="L126">
        <v>4281</v>
      </c>
      <c r="M126" t="s">
        <v>74</v>
      </c>
      <c r="N126">
        <v>2020</v>
      </c>
    </row>
    <row r="127" spans="1:14" x14ac:dyDescent="0.25">
      <c r="A127">
        <v>126</v>
      </c>
      <c r="B127">
        <v>44039</v>
      </c>
      <c r="C127" t="s">
        <v>61</v>
      </c>
      <c r="D127" t="s">
        <v>14</v>
      </c>
      <c r="E127" t="s">
        <v>42</v>
      </c>
      <c r="F127" t="s">
        <v>16</v>
      </c>
      <c r="G127">
        <v>0</v>
      </c>
      <c r="H127" t="s">
        <v>57</v>
      </c>
      <c r="I127" t="s">
        <v>53</v>
      </c>
      <c r="J127" t="s">
        <v>26</v>
      </c>
      <c r="K127" t="s">
        <v>59</v>
      </c>
      <c r="L127">
        <v>4455</v>
      </c>
      <c r="M127" t="s">
        <v>74</v>
      </c>
      <c r="N127">
        <v>2020</v>
      </c>
    </row>
    <row r="128" spans="1:14" x14ac:dyDescent="0.25">
      <c r="A128">
        <v>127</v>
      </c>
      <c r="B128">
        <v>44040</v>
      </c>
      <c r="C128" t="s">
        <v>61</v>
      </c>
      <c r="D128" t="s">
        <v>14</v>
      </c>
      <c r="E128" t="s">
        <v>22</v>
      </c>
      <c r="F128" t="s">
        <v>62</v>
      </c>
      <c r="G128">
        <v>0</v>
      </c>
      <c r="H128" t="s">
        <v>45</v>
      </c>
      <c r="I128" t="s">
        <v>53</v>
      </c>
      <c r="J128" t="s">
        <v>46</v>
      </c>
      <c r="K128" t="s">
        <v>43</v>
      </c>
      <c r="L128">
        <v>4444</v>
      </c>
      <c r="M128" t="s">
        <v>74</v>
      </c>
      <c r="N128">
        <v>2020</v>
      </c>
    </row>
    <row r="129" spans="1:14" x14ac:dyDescent="0.25">
      <c r="A129">
        <v>128</v>
      </c>
      <c r="B129">
        <v>44040</v>
      </c>
      <c r="C129" t="s">
        <v>21</v>
      </c>
      <c r="D129" t="s">
        <v>14</v>
      </c>
      <c r="E129" t="s">
        <v>47</v>
      </c>
      <c r="F129" t="s">
        <v>62</v>
      </c>
      <c r="G129">
        <v>2</v>
      </c>
      <c r="H129" t="s">
        <v>45</v>
      </c>
      <c r="I129" t="s">
        <v>25</v>
      </c>
      <c r="J129" t="s">
        <v>46</v>
      </c>
      <c r="K129" t="s">
        <v>40</v>
      </c>
      <c r="L129">
        <v>2777</v>
      </c>
      <c r="M129" t="s">
        <v>74</v>
      </c>
      <c r="N129">
        <v>2020</v>
      </c>
    </row>
    <row r="130" spans="1:14" x14ac:dyDescent="0.25">
      <c r="A130">
        <v>129</v>
      </c>
      <c r="B130">
        <v>44042</v>
      </c>
      <c r="C130" t="s">
        <v>64</v>
      </c>
      <c r="D130" t="s">
        <v>14</v>
      </c>
      <c r="E130" t="s">
        <v>15</v>
      </c>
      <c r="F130" t="s">
        <v>36</v>
      </c>
      <c r="G130">
        <v>3</v>
      </c>
      <c r="H130" t="s">
        <v>60</v>
      </c>
      <c r="I130" t="s">
        <v>25</v>
      </c>
      <c r="J130" t="s">
        <v>46</v>
      </c>
      <c r="K130" t="s">
        <v>52</v>
      </c>
      <c r="L130">
        <v>4940</v>
      </c>
      <c r="M130" t="s">
        <v>74</v>
      </c>
      <c r="N130">
        <v>2020</v>
      </c>
    </row>
    <row r="131" spans="1:14" x14ac:dyDescent="0.25">
      <c r="A131">
        <v>130</v>
      </c>
      <c r="B131">
        <v>44042</v>
      </c>
      <c r="C131" t="s">
        <v>21</v>
      </c>
      <c r="D131" t="s">
        <v>33</v>
      </c>
      <c r="E131" t="s">
        <v>47</v>
      </c>
      <c r="F131" t="s">
        <v>35</v>
      </c>
      <c r="G131">
        <v>0</v>
      </c>
      <c r="H131" t="s">
        <v>37</v>
      </c>
      <c r="I131" t="s">
        <v>18</v>
      </c>
      <c r="J131" t="s">
        <v>46</v>
      </c>
      <c r="K131" t="s">
        <v>52</v>
      </c>
      <c r="L131">
        <v>0</v>
      </c>
      <c r="M131" t="s">
        <v>74</v>
      </c>
      <c r="N131">
        <v>2020</v>
      </c>
    </row>
    <row r="132" spans="1:14" x14ac:dyDescent="0.25">
      <c r="A132">
        <v>131</v>
      </c>
      <c r="B132">
        <v>44044</v>
      </c>
      <c r="C132" t="s">
        <v>41</v>
      </c>
      <c r="D132" t="s">
        <v>14</v>
      </c>
      <c r="E132" t="s">
        <v>47</v>
      </c>
      <c r="F132" t="s">
        <v>38</v>
      </c>
      <c r="G132">
        <v>0</v>
      </c>
      <c r="H132" t="s">
        <v>49</v>
      </c>
      <c r="I132" t="s">
        <v>18</v>
      </c>
      <c r="J132" t="s">
        <v>19</v>
      </c>
      <c r="K132" t="s">
        <v>31</v>
      </c>
      <c r="L132">
        <v>0</v>
      </c>
      <c r="M132" t="s">
        <v>75</v>
      </c>
      <c r="N132">
        <v>2020</v>
      </c>
    </row>
    <row r="133" spans="1:14" x14ac:dyDescent="0.25">
      <c r="A133">
        <v>132</v>
      </c>
      <c r="B133">
        <v>44046</v>
      </c>
      <c r="C133" t="s">
        <v>13</v>
      </c>
      <c r="D133" t="s">
        <v>14</v>
      </c>
      <c r="E133" t="s">
        <v>42</v>
      </c>
      <c r="F133" t="s">
        <v>63</v>
      </c>
      <c r="G133">
        <v>0</v>
      </c>
      <c r="H133" t="s">
        <v>60</v>
      </c>
      <c r="I133" t="s">
        <v>53</v>
      </c>
      <c r="J133" t="s">
        <v>26</v>
      </c>
      <c r="K133" t="s">
        <v>20</v>
      </c>
      <c r="L133">
        <v>2521</v>
      </c>
      <c r="M133" t="s">
        <v>75</v>
      </c>
      <c r="N133">
        <v>2020</v>
      </c>
    </row>
    <row r="134" spans="1:14" x14ac:dyDescent="0.25">
      <c r="A134">
        <v>133</v>
      </c>
      <c r="B134">
        <v>44047</v>
      </c>
      <c r="C134" t="s">
        <v>56</v>
      </c>
      <c r="D134" t="s">
        <v>14</v>
      </c>
      <c r="E134" t="s">
        <v>34</v>
      </c>
      <c r="F134" t="s">
        <v>35</v>
      </c>
      <c r="G134">
        <v>0</v>
      </c>
      <c r="H134" t="s">
        <v>30</v>
      </c>
      <c r="I134" t="s">
        <v>53</v>
      </c>
      <c r="J134" t="s">
        <v>26</v>
      </c>
      <c r="K134" t="s">
        <v>50</v>
      </c>
      <c r="L134">
        <v>1430</v>
      </c>
      <c r="M134" t="s">
        <v>75</v>
      </c>
      <c r="N134">
        <v>2020</v>
      </c>
    </row>
    <row r="135" spans="1:14" x14ac:dyDescent="0.25">
      <c r="A135">
        <v>134</v>
      </c>
      <c r="B135">
        <v>44050</v>
      </c>
      <c r="C135" t="s">
        <v>65</v>
      </c>
      <c r="D135" t="s">
        <v>14</v>
      </c>
      <c r="E135" t="s">
        <v>15</v>
      </c>
      <c r="F135" t="s">
        <v>62</v>
      </c>
      <c r="G135">
        <v>5</v>
      </c>
      <c r="H135" t="s">
        <v>17</v>
      </c>
      <c r="I135" t="s">
        <v>25</v>
      </c>
      <c r="J135" t="s">
        <v>19</v>
      </c>
      <c r="K135" t="s">
        <v>27</v>
      </c>
      <c r="L135">
        <v>1505</v>
      </c>
      <c r="M135" t="s">
        <v>75</v>
      </c>
      <c r="N135">
        <v>2020</v>
      </c>
    </row>
    <row r="136" spans="1:14" x14ac:dyDescent="0.25">
      <c r="A136">
        <v>135</v>
      </c>
      <c r="B136">
        <v>44052</v>
      </c>
      <c r="C136" t="s">
        <v>44</v>
      </c>
      <c r="D136" t="s">
        <v>14</v>
      </c>
      <c r="E136" t="s">
        <v>47</v>
      </c>
      <c r="F136" t="s">
        <v>16</v>
      </c>
      <c r="G136">
        <v>0</v>
      </c>
      <c r="H136" t="s">
        <v>24</v>
      </c>
      <c r="I136" t="s">
        <v>53</v>
      </c>
      <c r="J136" t="s">
        <v>46</v>
      </c>
      <c r="K136" t="s">
        <v>50</v>
      </c>
      <c r="L136">
        <v>921</v>
      </c>
      <c r="M136" t="s">
        <v>75</v>
      </c>
      <c r="N136">
        <v>2020</v>
      </c>
    </row>
    <row r="137" spans="1:14" x14ac:dyDescent="0.25">
      <c r="A137">
        <v>136</v>
      </c>
      <c r="B137">
        <v>44052</v>
      </c>
      <c r="C137" t="s">
        <v>32</v>
      </c>
      <c r="D137" t="s">
        <v>14</v>
      </c>
      <c r="E137" t="s">
        <v>15</v>
      </c>
      <c r="F137" t="s">
        <v>62</v>
      </c>
      <c r="G137">
        <v>0</v>
      </c>
      <c r="H137" t="s">
        <v>30</v>
      </c>
      <c r="I137" t="s">
        <v>39</v>
      </c>
      <c r="J137" t="s">
        <v>19</v>
      </c>
      <c r="K137" t="s">
        <v>31</v>
      </c>
      <c r="L137">
        <v>206</v>
      </c>
      <c r="M137" t="s">
        <v>75</v>
      </c>
      <c r="N137">
        <v>2020</v>
      </c>
    </row>
    <row r="138" spans="1:14" x14ac:dyDescent="0.25">
      <c r="A138">
        <v>137</v>
      </c>
      <c r="B138">
        <v>44053</v>
      </c>
      <c r="C138" t="s">
        <v>65</v>
      </c>
      <c r="D138" t="s">
        <v>33</v>
      </c>
      <c r="E138" t="s">
        <v>22</v>
      </c>
      <c r="F138" t="s">
        <v>63</v>
      </c>
      <c r="G138">
        <v>0</v>
      </c>
      <c r="H138" t="s">
        <v>55</v>
      </c>
      <c r="I138" t="s">
        <v>18</v>
      </c>
      <c r="J138" t="s">
        <v>26</v>
      </c>
      <c r="K138" t="s">
        <v>59</v>
      </c>
      <c r="L138">
        <v>0</v>
      </c>
      <c r="M138" t="s">
        <v>75</v>
      </c>
      <c r="N138">
        <v>2020</v>
      </c>
    </row>
    <row r="139" spans="1:14" x14ac:dyDescent="0.25">
      <c r="A139">
        <v>138</v>
      </c>
      <c r="B139">
        <v>44054</v>
      </c>
      <c r="C139" t="s">
        <v>32</v>
      </c>
      <c r="D139" t="s">
        <v>14</v>
      </c>
      <c r="E139" t="s">
        <v>47</v>
      </c>
      <c r="F139" t="s">
        <v>23</v>
      </c>
      <c r="G139">
        <v>0</v>
      </c>
      <c r="H139" t="s">
        <v>49</v>
      </c>
      <c r="I139" t="s">
        <v>18</v>
      </c>
      <c r="J139" t="s">
        <v>19</v>
      </c>
      <c r="K139" t="s">
        <v>54</v>
      </c>
      <c r="L139">
        <v>0</v>
      </c>
      <c r="M139" t="s">
        <v>75</v>
      </c>
      <c r="N139">
        <v>2020</v>
      </c>
    </row>
    <row r="140" spans="1:14" x14ac:dyDescent="0.25">
      <c r="A140">
        <v>139</v>
      </c>
      <c r="B140">
        <v>44055</v>
      </c>
      <c r="C140" t="s">
        <v>51</v>
      </c>
      <c r="D140" t="s">
        <v>14</v>
      </c>
      <c r="E140" t="s">
        <v>47</v>
      </c>
      <c r="F140" t="s">
        <v>16</v>
      </c>
      <c r="G140">
        <v>0</v>
      </c>
      <c r="H140" t="s">
        <v>45</v>
      </c>
      <c r="I140" t="s">
        <v>53</v>
      </c>
      <c r="J140" t="s">
        <v>19</v>
      </c>
      <c r="K140" t="s">
        <v>27</v>
      </c>
      <c r="L140">
        <v>1835</v>
      </c>
      <c r="M140" t="s">
        <v>75</v>
      </c>
      <c r="N140">
        <v>2020</v>
      </c>
    </row>
    <row r="141" spans="1:14" x14ac:dyDescent="0.25">
      <c r="A141">
        <v>140</v>
      </c>
      <c r="B141">
        <v>44056</v>
      </c>
      <c r="C141" t="s">
        <v>44</v>
      </c>
      <c r="D141" t="s">
        <v>14</v>
      </c>
      <c r="E141" t="s">
        <v>15</v>
      </c>
      <c r="F141" t="s">
        <v>63</v>
      </c>
      <c r="G141">
        <v>1</v>
      </c>
      <c r="H141" t="s">
        <v>45</v>
      </c>
      <c r="I141" t="s">
        <v>25</v>
      </c>
      <c r="J141" t="s">
        <v>19</v>
      </c>
      <c r="K141" t="s">
        <v>31</v>
      </c>
      <c r="L141">
        <v>2333</v>
      </c>
      <c r="M141" t="s">
        <v>75</v>
      </c>
      <c r="N141">
        <v>2020</v>
      </c>
    </row>
    <row r="142" spans="1:14" x14ac:dyDescent="0.25">
      <c r="A142">
        <v>141</v>
      </c>
      <c r="B142">
        <v>44056</v>
      </c>
      <c r="C142" t="s">
        <v>65</v>
      </c>
      <c r="D142" t="s">
        <v>33</v>
      </c>
      <c r="E142" t="s">
        <v>15</v>
      </c>
      <c r="F142" t="s">
        <v>29</v>
      </c>
      <c r="G142">
        <v>0</v>
      </c>
      <c r="H142" t="s">
        <v>57</v>
      </c>
      <c r="I142" t="s">
        <v>18</v>
      </c>
      <c r="J142" t="s">
        <v>19</v>
      </c>
      <c r="K142" t="s">
        <v>50</v>
      </c>
      <c r="L142">
        <v>0</v>
      </c>
      <c r="M142" t="s">
        <v>75</v>
      </c>
      <c r="N142">
        <v>2020</v>
      </c>
    </row>
    <row r="143" spans="1:14" x14ac:dyDescent="0.25">
      <c r="A143">
        <v>142</v>
      </c>
      <c r="B143">
        <v>44056</v>
      </c>
      <c r="C143" t="s">
        <v>58</v>
      </c>
      <c r="D143" t="s">
        <v>14</v>
      </c>
      <c r="E143" t="s">
        <v>22</v>
      </c>
      <c r="F143" t="s">
        <v>48</v>
      </c>
      <c r="G143">
        <v>0</v>
      </c>
      <c r="H143" t="s">
        <v>30</v>
      </c>
      <c r="I143" t="s">
        <v>53</v>
      </c>
      <c r="J143" t="s">
        <v>19</v>
      </c>
      <c r="K143" t="s">
        <v>27</v>
      </c>
      <c r="L143">
        <v>1890</v>
      </c>
      <c r="M143" t="s">
        <v>75</v>
      </c>
      <c r="N143">
        <v>2020</v>
      </c>
    </row>
    <row r="144" spans="1:14" x14ac:dyDescent="0.25">
      <c r="A144">
        <v>143</v>
      </c>
      <c r="B144">
        <v>44058</v>
      </c>
      <c r="C144" t="s">
        <v>56</v>
      </c>
      <c r="D144" t="s">
        <v>14</v>
      </c>
      <c r="E144" t="s">
        <v>42</v>
      </c>
      <c r="F144" t="s">
        <v>36</v>
      </c>
      <c r="G144">
        <v>0</v>
      </c>
      <c r="H144" t="s">
        <v>30</v>
      </c>
      <c r="I144" t="s">
        <v>53</v>
      </c>
      <c r="J144" t="s">
        <v>46</v>
      </c>
      <c r="K144" t="s">
        <v>40</v>
      </c>
      <c r="L144">
        <v>1951</v>
      </c>
      <c r="M144" t="s">
        <v>75</v>
      </c>
      <c r="N144">
        <v>2020</v>
      </c>
    </row>
    <row r="145" spans="1:14" x14ac:dyDescent="0.25">
      <c r="A145">
        <v>144</v>
      </c>
      <c r="B145">
        <v>44064</v>
      </c>
      <c r="C145" t="s">
        <v>51</v>
      </c>
      <c r="D145" t="s">
        <v>14</v>
      </c>
      <c r="E145" t="s">
        <v>47</v>
      </c>
      <c r="F145" t="s">
        <v>35</v>
      </c>
      <c r="G145">
        <v>5</v>
      </c>
      <c r="H145" t="s">
        <v>57</v>
      </c>
      <c r="I145" t="s">
        <v>25</v>
      </c>
      <c r="J145" t="s">
        <v>46</v>
      </c>
      <c r="K145" t="s">
        <v>31</v>
      </c>
      <c r="L145">
        <v>3692</v>
      </c>
      <c r="M145" t="s">
        <v>75</v>
      </c>
      <c r="N145">
        <v>2020</v>
      </c>
    </row>
    <row r="146" spans="1:14" x14ac:dyDescent="0.25">
      <c r="A146">
        <v>145</v>
      </c>
      <c r="B146">
        <v>44064</v>
      </c>
      <c r="C146" t="s">
        <v>65</v>
      </c>
      <c r="D146" t="s">
        <v>14</v>
      </c>
      <c r="E146" t="s">
        <v>47</v>
      </c>
      <c r="F146" t="s">
        <v>63</v>
      </c>
      <c r="G146">
        <v>0</v>
      </c>
      <c r="H146" t="s">
        <v>17</v>
      </c>
      <c r="I146" t="s">
        <v>39</v>
      </c>
      <c r="J146" t="s">
        <v>46</v>
      </c>
      <c r="K146" t="s">
        <v>31</v>
      </c>
      <c r="L146">
        <v>242</v>
      </c>
      <c r="M146" t="s">
        <v>75</v>
      </c>
      <c r="N146">
        <v>2020</v>
      </c>
    </row>
    <row r="147" spans="1:14" x14ac:dyDescent="0.25">
      <c r="A147">
        <v>146</v>
      </c>
      <c r="B147">
        <v>44066</v>
      </c>
      <c r="C147" t="s">
        <v>58</v>
      </c>
      <c r="D147" t="s">
        <v>33</v>
      </c>
      <c r="E147" t="s">
        <v>15</v>
      </c>
      <c r="F147" t="s">
        <v>29</v>
      </c>
      <c r="G147">
        <v>0</v>
      </c>
      <c r="H147" t="s">
        <v>60</v>
      </c>
      <c r="I147" t="s">
        <v>18</v>
      </c>
      <c r="J147" t="s">
        <v>46</v>
      </c>
      <c r="K147" t="s">
        <v>20</v>
      </c>
      <c r="L147">
        <v>0</v>
      </c>
      <c r="M147" t="s">
        <v>75</v>
      </c>
      <c r="N147">
        <v>2020</v>
      </c>
    </row>
    <row r="148" spans="1:14" x14ac:dyDescent="0.25">
      <c r="A148">
        <v>147</v>
      </c>
      <c r="B148">
        <v>44068</v>
      </c>
      <c r="C148" t="s">
        <v>32</v>
      </c>
      <c r="D148" t="s">
        <v>14</v>
      </c>
      <c r="E148" t="s">
        <v>47</v>
      </c>
      <c r="F148" t="s">
        <v>63</v>
      </c>
      <c r="G148">
        <v>0</v>
      </c>
      <c r="H148" t="s">
        <v>57</v>
      </c>
      <c r="I148" t="s">
        <v>18</v>
      </c>
      <c r="J148" t="s">
        <v>26</v>
      </c>
      <c r="K148" t="s">
        <v>31</v>
      </c>
      <c r="L148">
        <v>0</v>
      </c>
      <c r="M148" t="s">
        <v>75</v>
      </c>
      <c r="N148">
        <v>2020</v>
      </c>
    </row>
    <row r="149" spans="1:14" x14ac:dyDescent="0.25">
      <c r="A149">
        <v>148</v>
      </c>
      <c r="B149">
        <v>44069</v>
      </c>
      <c r="C149" t="s">
        <v>64</v>
      </c>
      <c r="D149" t="s">
        <v>14</v>
      </c>
      <c r="E149" t="s">
        <v>22</v>
      </c>
      <c r="F149" t="s">
        <v>63</v>
      </c>
      <c r="G149">
        <v>0</v>
      </c>
      <c r="H149" t="s">
        <v>49</v>
      </c>
      <c r="I149" t="s">
        <v>53</v>
      </c>
      <c r="J149" t="s">
        <v>26</v>
      </c>
      <c r="K149" t="s">
        <v>52</v>
      </c>
      <c r="L149">
        <v>845</v>
      </c>
      <c r="M149" t="s">
        <v>75</v>
      </c>
      <c r="N149">
        <v>2020</v>
      </c>
    </row>
    <row r="150" spans="1:14" x14ac:dyDescent="0.25">
      <c r="A150">
        <v>149</v>
      </c>
      <c r="B150">
        <v>44070</v>
      </c>
      <c r="C150" t="s">
        <v>28</v>
      </c>
      <c r="D150" t="s">
        <v>14</v>
      </c>
      <c r="E150" t="s">
        <v>47</v>
      </c>
      <c r="F150" t="s">
        <v>48</v>
      </c>
      <c r="G150">
        <v>0</v>
      </c>
      <c r="H150" t="s">
        <v>60</v>
      </c>
      <c r="I150" t="s">
        <v>39</v>
      </c>
      <c r="J150" t="s">
        <v>26</v>
      </c>
      <c r="K150" t="s">
        <v>31</v>
      </c>
      <c r="L150">
        <v>395</v>
      </c>
      <c r="M150" t="s">
        <v>75</v>
      </c>
      <c r="N150">
        <v>2020</v>
      </c>
    </row>
    <row r="151" spans="1:14" x14ac:dyDescent="0.25">
      <c r="A151">
        <v>150</v>
      </c>
      <c r="B151">
        <v>44070</v>
      </c>
      <c r="C151" t="s">
        <v>58</v>
      </c>
      <c r="D151" t="s">
        <v>33</v>
      </c>
      <c r="E151" t="s">
        <v>34</v>
      </c>
      <c r="F151" t="s">
        <v>36</v>
      </c>
      <c r="G151">
        <v>0</v>
      </c>
      <c r="H151" t="s">
        <v>45</v>
      </c>
      <c r="I151" t="s">
        <v>39</v>
      </c>
      <c r="J151" t="s">
        <v>19</v>
      </c>
      <c r="K151" t="s">
        <v>50</v>
      </c>
      <c r="L151">
        <v>88</v>
      </c>
      <c r="M151" t="s">
        <v>75</v>
      </c>
      <c r="N151">
        <v>2020</v>
      </c>
    </row>
    <row r="152" spans="1:14" x14ac:dyDescent="0.25">
      <c r="A152">
        <v>151</v>
      </c>
      <c r="B152">
        <v>44073</v>
      </c>
      <c r="C152" t="s">
        <v>32</v>
      </c>
      <c r="D152" t="s">
        <v>14</v>
      </c>
      <c r="E152" t="s">
        <v>47</v>
      </c>
      <c r="F152" t="s">
        <v>29</v>
      </c>
      <c r="G152">
        <v>0</v>
      </c>
      <c r="H152" t="s">
        <v>24</v>
      </c>
      <c r="I152" t="s">
        <v>18</v>
      </c>
      <c r="J152" t="s">
        <v>19</v>
      </c>
      <c r="K152" t="s">
        <v>20</v>
      </c>
      <c r="L152">
        <v>0</v>
      </c>
      <c r="M152" t="s">
        <v>75</v>
      </c>
      <c r="N152">
        <v>2020</v>
      </c>
    </row>
    <row r="153" spans="1:14" x14ac:dyDescent="0.25">
      <c r="A153">
        <v>152</v>
      </c>
      <c r="B153">
        <v>44074</v>
      </c>
      <c r="C153" t="s">
        <v>58</v>
      </c>
      <c r="D153" t="s">
        <v>33</v>
      </c>
      <c r="E153" t="s">
        <v>15</v>
      </c>
      <c r="F153" t="s">
        <v>63</v>
      </c>
      <c r="G153">
        <v>2.5</v>
      </c>
      <c r="H153" t="s">
        <v>37</v>
      </c>
      <c r="I153" t="s">
        <v>25</v>
      </c>
      <c r="J153" t="s">
        <v>46</v>
      </c>
      <c r="K153" t="s">
        <v>54</v>
      </c>
      <c r="L153">
        <v>3488</v>
      </c>
      <c r="M153" t="s">
        <v>75</v>
      </c>
      <c r="N153">
        <v>2020</v>
      </c>
    </row>
    <row r="154" spans="1:14" x14ac:dyDescent="0.25">
      <c r="A154">
        <v>153</v>
      </c>
      <c r="B154">
        <v>44079</v>
      </c>
      <c r="C154" t="s">
        <v>21</v>
      </c>
      <c r="D154" t="s">
        <v>33</v>
      </c>
      <c r="E154" t="s">
        <v>22</v>
      </c>
      <c r="F154" t="s">
        <v>29</v>
      </c>
      <c r="G154">
        <v>0</v>
      </c>
      <c r="H154" t="s">
        <v>55</v>
      </c>
      <c r="I154" t="s">
        <v>39</v>
      </c>
      <c r="J154" t="s">
        <v>26</v>
      </c>
      <c r="K154" t="s">
        <v>31</v>
      </c>
      <c r="L154">
        <v>351</v>
      </c>
      <c r="M154" t="s">
        <v>76</v>
      </c>
      <c r="N154">
        <v>2020</v>
      </c>
    </row>
    <row r="155" spans="1:14" x14ac:dyDescent="0.25">
      <c r="A155">
        <v>154</v>
      </c>
      <c r="B155">
        <v>44080</v>
      </c>
      <c r="C155" t="s">
        <v>51</v>
      </c>
      <c r="D155" t="s">
        <v>14</v>
      </c>
      <c r="E155" t="s">
        <v>22</v>
      </c>
      <c r="F155" t="s">
        <v>48</v>
      </c>
      <c r="G155">
        <v>0</v>
      </c>
      <c r="H155" t="s">
        <v>24</v>
      </c>
      <c r="I155" t="s">
        <v>39</v>
      </c>
      <c r="J155" t="s">
        <v>46</v>
      </c>
      <c r="K155" t="s">
        <v>27</v>
      </c>
      <c r="L155">
        <v>430</v>
      </c>
      <c r="M155" t="s">
        <v>76</v>
      </c>
      <c r="N155">
        <v>2020</v>
      </c>
    </row>
    <row r="156" spans="1:14" x14ac:dyDescent="0.25">
      <c r="A156">
        <v>155</v>
      </c>
      <c r="B156">
        <v>44081</v>
      </c>
      <c r="C156" t="s">
        <v>64</v>
      </c>
      <c r="D156" t="s">
        <v>14</v>
      </c>
      <c r="E156" t="s">
        <v>15</v>
      </c>
      <c r="F156" t="s">
        <v>35</v>
      </c>
      <c r="G156">
        <v>0</v>
      </c>
      <c r="H156" t="s">
        <v>60</v>
      </c>
      <c r="I156" t="s">
        <v>53</v>
      </c>
      <c r="J156" t="s">
        <v>26</v>
      </c>
      <c r="K156" t="s">
        <v>50</v>
      </c>
      <c r="L156">
        <v>4871</v>
      </c>
      <c r="M156" t="s">
        <v>76</v>
      </c>
      <c r="N156">
        <v>2020</v>
      </c>
    </row>
    <row r="157" spans="1:14" x14ac:dyDescent="0.25">
      <c r="A157">
        <v>156</v>
      </c>
      <c r="B157">
        <v>44085</v>
      </c>
      <c r="C157" t="s">
        <v>41</v>
      </c>
      <c r="D157" t="s">
        <v>14</v>
      </c>
      <c r="E157" t="s">
        <v>22</v>
      </c>
      <c r="F157" t="s">
        <v>48</v>
      </c>
      <c r="G157">
        <v>1.5</v>
      </c>
      <c r="H157" t="s">
        <v>60</v>
      </c>
      <c r="I157" t="s">
        <v>25</v>
      </c>
      <c r="J157" t="s">
        <v>46</v>
      </c>
      <c r="K157" t="s">
        <v>40</v>
      </c>
      <c r="L157">
        <v>1230</v>
      </c>
      <c r="M157" t="s">
        <v>76</v>
      </c>
      <c r="N157">
        <v>2020</v>
      </c>
    </row>
    <row r="158" spans="1:14" x14ac:dyDescent="0.25">
      <c r="A158">
        <v>157</v>
      </c>
      <c r="B158">
        <v>44087</v>
      </c>
      <c r="C158" t="s">
        <v>61</v>
      </c>
      <c r="D158" t="s">
        <v>14</v>
      </c>
      <c r="E158" t="s">
        <v>34</v>
      </c>
      <c r="F158" t="s">
        <v>48</v>
      </c>
      <c r="G158">
        <v>0</v>
      </c>
      <c r="H158" t="s">
        <v>37</v>
      </c>
      <c r="I158" t="s">
        <v>18</v>
      </c>
      <c r="J158" t="s">
        <v>46</v>
      </c>
      <c r="K158" t="s">
        <v>59</v>
      </c>
      <c r="L158">
        <v>0</v>
      </c>
      <c r="M158" t="s">
        <v>76</v>
      </c>
      <c r="N158">
        <v>2020</v>
      </c>
    </row>
    <row r="159" spans="1:14" x14ac:dyDescent="0.25">
      <c r="A159">
        <v>158</v>
      </c>
      <c r="B159">
        <v>44088</v>
      </c>
      <c r="C159" t="s">
        <v>28</v>
      </c>
      <c r="D159" t="s">
        <v>14</v>
      </c>
      <c r="E159" t="s">
        <v>34</v>
      </c>
      <c r="F159" t="s">
        <v>29</v>
      </c>
      <c r="G159">
        <v>0</v>
      </c>
      <c r="H159" t="s">
        <v>57</v>
      </c>
      <c r="I159" t="s">
        <v>53</v>
      </c>
      <c r="J159" t="s">
        <v>46</v>
      </c>
      <c r="K159" t="s">
        <v>27</v>
      </c>
      <c r="L159">
        <v>1136</v>
      </c>
      <c r="M159" t="s">
        <v>76</v>
      </c>
      <c r="N159">
        <v>2020</v>
      </c>
    </row>
    <row r="160" spans="1:14" x14ac:dyDescent="0.25">
      <c r="A160">
        <v>159</v>
      </c>
      <c r="B160">
        <v>44090</v>
      </c>
      <c r="C160" t="s">
        <v>44</v>
      </c>
      <c r="D160" t="s">
        <v>33</v>
      </c>
      <c r="E160" t="s">
        <v>15</v>
      </c>
      <c r="F160" t="s">
        <v>36</v>
      </c>
      <c r="G160">
        <v>0</v>
      </c>
      <c r="H160" t="s">
        <v>55</v>
      </c>
      <c r="I160" t="s">
        <v>53</v>
      </c>
      <c r="J160" t="s">
        <v>26</v>
      </c>
      <c r="K160" t="s">
        <v>27</v>
      </c>
      <c r="L160">
        <v>1819</v>
      </c>
      <c r="M160" t="s">
        <v>76</v>
      </c>
      <c r="N160">
        <v>2020</v>
      </c>
    </row>
    <row r="161" spans="1:14" x14ac:dyDescent="0.25">
      <c r="A161">
        <v>160</v>
      </c>
      <c r="B161">
        <v>44096</v>
      </c>
      <c r="C161" t="s">
        <v>44</v>
      </c>
      <c r="D161" t="s">
        <v>14</v>
      </c>
      <c r="E161" t="s">
        <v>22</v>
      </c>
      <c r="F161" t="s">
        <v>36</v>
      </c>
      <c r="G161">
        <v>2.5</v>
      </c>
      <c r="H161" t="s">
        <v>30</v>
      </c>
      <c r="I161" t="s">
        <v>25</v>
      </c>
      <c r="J161" t="s">
        <v>46</v>
      </c>
      <c r="K161" t="s">
        <v>54</v>
      </c>
      <c r="L161">
        <v>709</v>
      </c>
      <c r="M161" t="s">
        <v>76</v>
      </c>
      <c r="N161">
        <v>2020</v>
      </c>
    </row>
    <row r="162" spans="1:14" x14ac:dyDescent="0.25">
      <c r="A162">
        <v>161</v>
      </c>
      <c r="B162">
        <v>44097</v>
      </c>
      <c r="C162" t="s">
        <v>32</v>
      </c>
      <c r="D162" t="s">
        <v>14</v>
      </c>
      <c r="E162" t="s">
        <v>15</v>
      </c>
      <c r="F162" t="s">
        <v>48</v>
      </c>
      <c r="G162">
        <v>0</v>
      </c>
      <c r="H162" t="s">
        <v>49</v>
      </c>
      <c r="I162" t="s">
        <v>39</v>
      </c>
      <c r="J162" t="s">
        <v>19</v>
      </c>
      <c r="K162" t="s">
        <v>54</v>
      </c>
      <c r="L162">
        <v>366</v>
      </c>
      <c r="M162" t="s">
        <v>76</v>
      </c>
      <c r="N162">
        <v>2020</v>
      </c>
    </row>
    <row r="163" spans="1:14" x14ac:dyDescent="0.25">
      <c r="A163">
        <v>162</v>
      </c>
      <c r="B163">
        <v>44099</v>
      </c>
      <c r="C163" t="s">
        <v>44</v>
      </c>
      <c r="D163" t="s">
        <v>14</v>
      </c>
      <c r="E163" t="s">
        <v>34</v>
      </c>
      <c r="F163" t="s">
        <v>23</v>
      </c>
      <c r="G163">
        <v>0</v>
      </c>
      <c r="H163" t="s">
        <v>17</v>
      </c>
      <c r="I163" t="s">
        <v>39</v>
      </c>
      <c r="J163" t="s">
        <v>46</v>
      </c>
      <c r="K163" t="s">
        <v>31</v>
      </c>
      <c r="L163">
        <v>133</v>
      </c>
      <c r="M163" t="s">
        <v>76</v>
      </c>
      <c r="N163">
        <v>2020</v>
      </c>
    </row>
    <row r="164" spans="1:14" x14ac:dyDescent="0.25">
      <c r="A164">
        <v>163</v>
      </c>
      <c r="B164">
        <v>44101</v>
      </c>
      <c r="C164" t="s">
        <v>56</v>
      </c>
      <c r="D164" t="s">
        <v>14</v>
      </c>
      <c r="E164" t="s">
        <v>47</v>
      </c>
      <c r="F164" t="s">
        <v>36</v>
      </c>
      <c r="G164">
        <v>0</v>
      </c>
      <c r="H164" t="s">
        <v>37</v>
      </c>
      <c r="I164" t="s">
        <v>39</v>
      </c>
      <c r="J164" t="s">
        <v>19</v>
      </c>
      <c r="K164" t="s">
        <v>27</v>
      </c>
      <c r="L164">
        <v>470</v>
      </c>
      <c r="M164" t="s">
        <v>76</v>
      </c>
      <c r="N164">
        <v>2020</v>
      </c>
    </row>
    <row r="165" spans="1:14" x14ac:dyDescent="0.25">
      <c r="A165">
        <v>164</v>
      </c>
      <c r="B165">
        <v>44104</v>
      </c>
      <c r="C165" t="s">
        <v>21</v>
      </c>
      <c r="D165" t="s">
        <v>14</v>
      </c>
      <c r="E165" t="s">
        <v>47</v>
      </c>
      <c r="F165" t="s">
        <v>29</v>
      </c>
      <c r="G165">
        <v>0</v>
      </c>
      <c r="H165" t="s">
        <v>30</v>
      </c>
      <c r="I165" t="s">
        <v>18</v>
      </c>
      <c r="J165" t="s">
        <v>46</v>
      </c>
      <c r="K165" t="s">
        <v>52</v>
      </c>
      <c r="L165">
        <v>0</v>
      </c>
      <c r="M165" t="s">
        <v>76</v>
      </c>
      <c r="N165">
        <v>2020</v>
      </c>
    </row>
    <row r="166" spans="1:14" x14ac:dyDescent="0.25">
      <c r="A166">
        <v>165</v>
      </c>
      <c r="B166">
        <v>44108</v>
      </c>
      <c r="C166" t="s">
        <v>44</v>
      </c>
      <c r="D166" t="s">
        <v>14</v>
      </c>
      <c r="E166" t="s">
        <v>15</v>
      </c>
      <c r="F166" t="s">
        <v>36</v>
      </c>
      <c r="G166">
        <v>1</v>
      </c>
      <c r="H166" t="s">
        <v>57</v>
      </c>
      <c r="I166" t="s">
        <v>25</v>
      </c>
      <c r="J166" t="s">
        <v>26</v>
      </c>
      <c r="K166" t="s">
        <v>40</v>
      </c>
      <c r="L166">
        <v>2237</v>
      </c>
      <c r="M166" t="s">
        <v>77</v>
      </c>
      <c r="N166">
        <v>2020</v>
      </c>
    </row>
    <row r="167" spans="1:14" x14ac:dyDescent="0.25">
      <c r="A167">
        <v>166</v>
      </c>
      <c r="B167">
        <v>44113</v>
      </c>
      <c r="C167" t="s">
        <v>51</v>
      </c>
      <c r="D167" t="s">
        <v>14</v>
      </c>
      <c r="E167" t="s">
        <v>34</v>
      </c>
      <c r="F167" t="s">
        <v>16</v>
      </c>
      <c r="G167">
        <v>0</v>
      </c>
      <c r="H167" t="s">
        <v>49</v>
      </c>
      <c r="I167" t="s">
        <v>39</v>
      </c>
      <c r="J167" t="s">
        <v>26</v>
      </c>
      <c r="K167" t="s">
        <v>50</v>
      </c>
      <c r="L167">
        <v>58</v>
      </c>
      <c r="M167" t="s">
        <v>77</v>
      </c>
      <c r="N167">
        <v>2020</v>
      </c>
    </row>
    <row r="168" spans="1:14" x14ac:dyDescent="0.25">
      <c r="A168">
        <v>167</v>
      </c>
      <c r="B168">
        <v>44115</v>
      </c>
      <c r="C168" t="s">
        <v>13</v>
      </c>
      <c r="D168" t="s">
        <v>14</v>
      </c>
      <c r="E168" t="s">
        <v>47</v>
      </c>
      <c r="F168" t="s">
        <v>38</v>
      </c>
      <c r="G168">
        <v>4.5</v>
      </c>
      <c r="H168" t="s">
        <v>17</v>
      </c>
      <c r="I168" t="s">
        <v>25</v>
      </c>
      <c r="J168" t="s">
        <v>46</v>
      </c>
      <c r="K168" t="s">
        <v>27</v>
      </c>
      <c r="L168">
        <v>3299</v>
      </c>
      <c r="M168" t="s">
        <v>77</v>
      </c>
      <c r="N168">
        <v>2020</v>
      </c>
    </row>
    <row r="169" spans="1:14" x14ac:dyDescent="0.25">
      <c r="A169">
        <v>168</v>
      </c>
      <c r="B169">
        <v>44116</v>
      </c>
      <c r="C169" t="s">
        <v>65</v>
      </c>
      <c r="D169" t="s">
        <v>14</v>
      </c>
      <c r="E169" t="s">
        <v>22</v>
      </c>
      <c r="F169" t="s">
        <v>63</v>
      </c>
      <c r="G169">
        <v>0</v>
      </c>
      <c r="H169" t="s">
        <v>45</v>
      </c>
      <c r="I169" t="s">
        <v>39</v>
      </c>
      <c r="J169" t="s">
        <v>46</v>
      </c>
      <c r="K169" t="s">
        <v>27</v>
      </c>
      <c r="L169">
        <v>369</v>
      </c>
      <c r="M169" t="s">
        <v>77</v>
      </c>
      <c r="N169">
        <v>2020</v>
      </c>
    </row>
    <row r="170" spans="1:14" x14ac:dyDescent="0.25">
      <c r="A170">
        <v>169</v>
      </c>
      <c r="B170">
        <v>44116</v>
      </c>
      <c r="C170" t="s">
        <v>13</v>
      </c>
      <c r="D170" t="s">
        <v>14</v>
      </c>
      <c r="E170" t="s">
        <v>47</v>
      </c>
      <c r="F170" t="s">
        <v>38</v>
      </c>
      <c r="G170">
        <v>0</v>
      </c>
      <c r="H170" t="s">
        <v>30</v>
      </c>
      <c r="I170" t="s">
        <v>39</v>
      </c>
      <c r="J170" t="s">
        <v>26</v>
      </c>
      <c r="K170" t="s">
        <v>40</v>
      </c>
      <c r="L170">
        <v>229</v>
      </c>
      <c r="M170" t="s">
        <v>77</v>
      </c>
      <c r="N170">
        <v>2020</v>
      </c>
    </row>
    <row r="171" spans="1:14" x14ac:dyDescent="0.25">
      <c r="A171">
        <v>170</v>
      </c>
      <c r="B171">
        <v>44117</v>
      </c>
      <c r="C171" t="s">
        <v>21</v>
      </c>
      <c r="D171" t="s">
        <v>14</v>
      </c>
      <c r="E171" t="s">
        <v>15</v>
      </c>
      <c r="F171" t="s">
        <v>48</v>
      </c>
      <c r="G171">
        <v>2.5</v>
      </c>
      <c r="H171" t="s">
        <v>37</v>
      </c>
      <c r="I171" t="s">
        <v>25</v>
      </c>
      <c r="J171" t="s">
        <v>26</v>
      </c>
      <c r="K171" t="s">
        <v>43</v>
      </c>
      <c r="L171">
        <v>1731</v>
      </c>
      <c r="M171" t="s">
        <v>77</v>
      </c>
      <c r="N171">
        <v>2020</v>
      </c>
    </row>
    <row r="172" spans="1:14" x14ac:dyDescent="0.25">
      <c r="A172">
        <v>171</v>
      </c>
      <c r="B172">
        <v>44117</v>
      </c>
      <c r="C172" t="s">
        <v>21</v>
      </c>
      <c r="D172" t="s">
        <v>14</v>
      </c>
      <c r="E172" t="s">
        <v>47</v>
      </c>
      <c r="F172" t="s">
        <v>38</v>
      </c>
      <c r="G172">
        <v>1.5</v>
      </c>
      <c r="H172" t="s">
        <v>49</v>
      </c>
      <c r="I172" t="s">
        <v>25</v>
      </c>
      <c r="J172" t="s">
        <v>19</v>
      </c>
      <c r="K172" t="s">
        <v>27</v>
      </c>
      <c r="L172">
        <v>4823</v>
      </c>
      <c r="M172" t="s">
        <v>77</v>
      </c>
      <c r="N172">
        <v>2020</v>
      </c>
    </row>
    <row r="173" spans="1:14" x14ac:dyDescent="0.25">
      <c r="A173">
        <v>172</v>
      </c>
      <c r="B173">
        <v>44118</v>
      </c>
      <c r="C173" t="s">
        <v>64</v>
      </c>
      <c r="D173" t="s">
        <v>14</v>
      </c>
      <c r="E173" t="s">
        <v>34</v>
      </c>
      <c r="F173" t="s">
        <v>36</v>
      </c>
      <c r="G173">
        <v>0</v>
      </c>
      <c r="H173" t="s">
        <v>30</v>
      </c>
      <c r="I173" t="s">
        <v>39</v>
      </c>
      <c r="J173" t="s">
        <v>46</v>
      </c>
      <c r="K173" t="s">
        <v>27</v>
      </c>
      <c r="L173">
        <v>57</v>
      </c>
      <c r="M173" t="s">
        <v>77</v>
      </c>
      <c r="N173">
        <v>2020</v>
      </c>
    </row>
    <row r="174" spans="1:14" x14ac:dyDescent="0.25">
      <c r="A174">
        <v>173</v>
      </c>
      <c r="B174">
        <v>44120</v>
      </c>
      <c r="C174" t="s">
        <v>41</v>
      </c>
      <c r="D174" t="s">
        <v>14</v>
      </c>
      <c r="E174" t="s">
        <v>34</v>
      </c>
      <c r="F174" t="s">
        <v>16</v>
      </c>
      <c r="G174">
        <v>0</v>
      </c>
      <c r="H174" t="s">
        <v>17</v>
      </c>
      <c r="I174" t="s">
        <v>39</v>
      </c>
      <c r="J174" t="s">
        <v>26</v>
      </c>
      <c r="K174" t="s">
        <v>52</v>
      </c>
      <c r="L174">
        <v>466</v>
      </c>
      <c r="M174" t="s">
        <v>77</v>
      </c>
      <c r="N174">
        <v>2020</v>
      </c>
    </row>
    <row r="175" spans="1:14" x14ac:dyDescent="0.25">
      <c r="A175">
        <v>174</v>
      </c>
      <c r="B175">
        <v>44120</v>
      </c>
      <c r="C175" t="s">
        <v>21</v>
      </c>
      <c r="D175" t="s">
        <v>14</v>
      </c>
      <c r="E175" t="s">
        <v>15</v>
      </c>
      <c r="F175" t="s">
        <v>63</v>
      </c>
      <c r="G175">
        <v>0</v>
      </c>
      <c r="H175" t="s">
        <v>45</v>
      </c>
      <c r="I175" t="s">
        <v>18</v>
      </c>
      <c r="J175" t="s">
        <v>46</v>
      </c>
      <c r="K175" t="s">
        <v>31</v>
      </c>
      <c r="L175">
        <v>0</v>
      </c>
      <c r="M175" t="s">
        <v>77</v>
      </c>
      <c r="N175">
        <v>2020</v>
      </c>
    </row>
    <row r="176" spans="1:14" x14ac:dyDescent="0.25">
      <c r="A176">
        <v>175</v>
      </c>
      <c r="B176">
        <v>44121</v>
      </c>
      <c r="C176" t="s">
        <v>32</v>
      </c>
      <c r="D176" t="s">
        <v>14</v>
      </c>
      <c r="E176" t="s">
        <v>34</v>
      </c>
      <c r="F176" t="s">
        <v>23</v>
      </c>
      <c r="G176">
        <v>0</v>
      </c>
      <c r="H176" t="s">
        <v>45</v>
      </c>
      <c r="I176" t="s">
        <v>18</v>
      </c>
      <c r="J176" t="s">
        <v>46</v>
      </c>
      <c r="K176" t="s">
        <v>20</v>
      </c>
      <c r="L176">
        <v>0</v>
      </c>
      <c r="M176" t="s">
        <v>77</v>
      </c>
      <c r="N176">
        <v>2020</v>
      </c>
    </row>
    <row r="177" spans="1:14" x14ac:dyDescent="0.25">
      <c r="A177">
        <v>176</v>
      </c>
      <c r="B177">
        <v>44123</v>
      </c>
      <c r="C177" t="s">
        <v>28</v>
      </c>
      <c r="D177" t="s">
        <v>14</v>
      </c>
      <c r="E177" t="s">
        <v>34</v>
      </c>
      <c r="F177" t="s">
        <v>35</v>
      </c>
      <c r="G177">
        <v>0</v>
      </c>
      <c r="H177" t="s">
        <v>55</v>
      </c>
      <c r="I177" t="s">
        <v>18</v>
      </c>
      <c r="J177" t="s">
        <v>26</v>
      </c>
      <c r="K177" t="s">
        <v>40</v>
      </c>
      <c r="L177">
        <v>0</v>
      </c>
      <c r="M177" t="s">
        <v>77</v>
      </c>
      <c r="N177">
        <v>2020</v>
      </c>
    </row>
    <row r="178" spans="1:14" x14ac:dyDescent="0.25">
      <c r="A178">
        <v>177</v>
      </c>
      <c r="B178">
        <v>44126</v>
      </c>
      <c r="C178" t="s">
        <v>58</v>
      </c>
      <c r="D178" t="s">
        <v>14</v>
      </c>
      <c r="E178" t="s">
        <v>22</v>
      </c>
      <c r="F178" t="s">
        <v>63</v>
      </c>
      <c r="G178">
        <v>2</v>
      </c>
      <c r="H178" t="s">
        <v>17</v>
      </c>
      <c r="I178" t="s">
        <v>25</v>
      </c>
      <c r="J178" t="s">
        <v>46</v>
      </c>
      <c r="K178" t="s">
        <v>27</v>
      </c>
      <c r="L178">
        <v>3549</v>
      </c>
      <c r="M178" t="s">
        <v>77</v>
      </c>
      <c r="N178">
        <v>2020</v>
      </c>
    </row>
    <row r="179" spans="1:14" x14ac:dyDescent="0.25">
      <c r="A179">
        <v>178</v>
      </c>
      <c r="B179">
        <v>44128</v>
      </c>
      <c r="C179" t="s">
        <v>58</v>
      </c>
      <c r="D179" t="s">
        <v>14</v>
      </c>
      <c r="E179" t="s">
        <v>34</v>
      </c>
      <c r="F179" t="s">
        <v>62</v>
      </c>
      <c r="G179">
        <v>0</v>
      </c>
      <c r="H179" t="s">
        <v>24</v>
      </c>
      <c r="I179" t="s">
        <v>53</v>
      </c>
      <c r="J179" t="s">
        <v>26</v>
      </c>
      <c r="K179" t="s">
        <v>27</v>
      </c>
      <c r="L179">
        <v>2476</v>
      </c>
      <c r="M179" t="s">
        <v>77</v>
      </c>
      <c r="N179">
        <v>2020</v>
      </c>
    </row>
    <row r="180" spans="1:14" x14ac:dyDescent="0.25">
      <c r="A180">
        <v>179</v>
      </c>
      <c r="B180">
        <v>44130</v>
      </c>
      <c r="C180" t="s">
        <v>61</v>
      </c>
      <c r="D180" t="s">
        <v>14</v>
      </c>
      <c r="E180" t="s">
        <v>22</v>
      </c>
      <c r="F180" t="s">
        <v>16</v>
      </c>
      <c r="G180">
        <v>4.5</v>
      </c>
      <c r="H180" t="s">
        <v>55</v>
      </c>
      <c r="I180" t="s">
        <v>25</v>
      </c>
      <c r="J180" t="s">
        <v>46</v>
      </c>
      <c r="K180" t="s">
        <v>50</v>
      </c>
      <c r="L180">
        <v>1935</v>
      </c>
      <c r="M180" t="s">
        <v>77</v>
      </c>
      <c r="N180">
        <v>2020</v>
      </c>
    </row>
    <row r="181" spans="1:14" x14ac:dyDescent="0.25">
      <c r="A181">
        <v>180</v>
      </c>
      <c r="B181">
        <v>44131</v>
      </c>
      <c r="C181" t="s">
        <v>41</v>
      </c>
      <c r="D181" t="s">
        <v>14</v>
      </c>
      <c r="E181" t="s">
        <v>34</v>
      </c>
      <c r="F181" t="s">
        <v>62</v>
      </c>
      <c r="G181">
        <v>0</v>
      </c>
      <c r="H181" t="s">
        <v>37</v>
      </c>
      <c r="I181" t="s">
        <v>39</v>
      </c>
      <c r="J181" t="s">
        <v>46</v>
      </c>
      <c r="K181" t="s">
        <v>54</v>
      </c>
      <c r="L181">
        <v>143</v>
      </c>
      <c r="M181" t="s">
        <v>77</v>
      </c>
      <c r="N181">
        <v>2020</v>
      </c>
    </row>
    <row r="182" spans="1:14" x14ac:dyDescent="0.25">
      <c r="A182">
        <v>181</v>
      </c>
      <c r="B182">
        <v>44131</v>
      </c>
      <c r="C182" t="s">
        <v>13</v>
      </c>
      <c r="D182" t="s">
        <v>14</v>
      </c>
      <c r="E182" t="s">
        <v>15</v>
      </c>
      <c r="F182" t="s">
        <v>36</v>
      </c>
      <c r="G182">
        <v>3</v>
      </c>
      <c r="H182" t="s">
        <v>55</v>
      </c>
      <c r="I182" t="s">
        <v>25</v>
      </c>
      <c r="J182" t="s">
        <v>19</v>
      </c>
      <c r="K182" t="s">
        <v>31</v>
      </c>
      <c r="L182">
        <v>2397</v>
      </c>
      <c r="M182" t="s">
        <v>77</v>
      </c>
      <c r="N182">
        <v>2020</v>
      </c>
    </row>
    <row r="183" spans="1:14" x14ac:dyDescent="0.25">
      <c r="A183">
        <v>182</v>
      </c>
      <c r="B183">
        <v>44134</v>
      </c>
      <c r="C183" t="s">
        <v>58</v>
      </c>
      <c r="D183" t="s">
        <v>14</v>
      </c>
      <c r="E183" t="s">
        <v>47</v>
      </c>
      <c r="F183" t="s">
        <v>35</v>
      </c>
      <c r="G183">
        <v>1.5</v>
      </c>
      <c r="H183" t="s">
        <v>55</v>
      </c>
      <c r="I183" t="s">
        <v>25</v>
      </c>
      <c r="J183" t="s">
        <v>19</v>
      </c>
      <c r="K183" t="s">
        <v>27</v>
      </c>
      <c r="L183">
        <v>4618</v>
      </c>
      <c r="M183" t="s">
        <v>77</v>
      </c>
      <c r="N183">
        <v>2020</v>
      </c>
    </row>
    <row r="184" spans="1:14" x14ac:dyDescent="0.25">
      <c r="A184">
        <v>183</v>
      </c>
      <c r="B184">
        <v>44142</v>
      </c>
      <c r="C184" t="s">
        <v>13</v>
      </c>
      <c r="D184" t="s">
        <v>14</v>
      </c>
      <c r="E184" t="s">
        <v>47</v>
      </c>
      <c r="F184" t="s">
        <v>16</v>
      </c>
      <c r="G184">
        <v>0</v>
      </c>
      <c r="H184" t="s">
        <v>30</v>
      </c>
      <c r="I184" t="s">
        <v>53</v>
      </c>
      <c r="J184" t="s">
        <v>26</v>
      </c>
      <c r="K184" t="s">
        <v>54</v>
      </c>
      <c r="L184">
        <v>3849</v>
      </c>
      <c r="M184" t="s">
        <v>78</v>
      </c>
      <c r="N184">
        <v>2020</v>
      </c>
    </row>
    <row r="185" spans="1:14" x14ac:dyDescent="0.25">
      <c r="A185">
        <v>184</v>
      </c>
      <c r="B185">
        <v>44146</v>
      </c>
      <c r="C185" t="s">
        <v>58</v>
      </c>
      <c r="D185" t="s">
        <v>14</v>
      </c>
      <c r="E185" t="s">
        <v>47</v>
      </c>
      <c r="F185" t="s">
        <v>48</v>
      </c>
      <c r="G185">
        <v>0</v>
      </c>
      <c r="H185" t="s">
        <v>60</v>
      </c>
      <c r="I185" t="s">
        <v>53</v>
      </c>
      <c r="J185" t="s">
        <v>19</v>
      </c>
      <c r="K185" t="s">
        <v>54</v>
      </c>
      <c r="L185">
        <v>588</v>
      </c>
      <c r="M185" t="s">
        <v>78</v>
      </c>
      <c r="N185">
        <v>2020</v>
      </c>
    </row>
    <row r="186" spans="1:14" x14ac:dyDescent="0.25">
      <c r="A186">
        <v>185</v>
      </c>
      <c r="B186">
        <v>44147</v>
      </c>
      <c r="C186" t="s">
        <v>51</v>
      </c>
      <c r="D186" t="s">
        <v>14</v>
      </c>
      <c r="E186" t="s">
        <v>34</v>
      </c>
      <c r="F186" t="s">
        <v>29</v>
      </c>
      <c r="G186">
        <v>0</v>
      </c>
      <c r="H186" t="s">
        <v>55</v>
      </c>
      <c r="I186" t="s">
        <v>18</v>
      </c>
      <c r="J186" t="s">
        <v>19</v>
      </c>
      <c r="K186" t="s">
        <v>54</v>
      </c>
      <c r="L186">
        <v>0</v>
      </c>
      <c r="M186" t="s">
        <v>78</v>
      </c>
      <c r="N186">
        <v>2020</v>
      </c>
    </row>
    <row r="187" spans="1:14" x14ac:dyDescent="0.25">
      <c r="A187">
        <v>186</v>
      </c>
      <c r="B187">
        <v>44150</v>
      </c>
      <c r="C187" t="s">
        <v>65</v>
      </c>
      <c r="D187" t="s">
        <v>14</v>
      </c>
      <c r="E187" t="s">
        <v>47</v>
      </c>
      <c r="F187" t="s">
        <v>62</v>
      </c>
      <c r="G187">
        <v>4.5</v>
      </c>
      <c r="H187" t="s">
        <v>55</v>
      </c>
      <c r="I187" t="s">
        <v>25</v>
      </c>
      <c r="J187" t="s">
        <v>46</v>
      </c>
      <c r="K187" t="s">
        <v>27</v>
      </c>
      <c r="L187">
        <v>4411</v>
      </c>
      <c r="M187" t="s">
        <v>78</v>
      </c>
      <c r="N187">
        <v>2020</v>
      </c>
    </row>
    <row r="188" spans="1:14" x14ac:dyDescent="0.25">
      <c r="A188">
        <v>187</v>
      </c>
      <c r="B188">
        <v>44151</v>
      </c>
      <c r="C188" t="s">
        <v>41</v>
      </c>
      <c r="D188" t="s">
        <v>14</v>
      </c>
      <c r="E188" t="s">
        <v>47</v>
      </c>
      <c r="F188" t="s">
        <v>63</v>
      </c>
      <c r="G188">
        <v>0</v>
      </c>
      <c r="H188" t="s">
        <v>55</v>
      </c>
      <c r="I188" t="s">
        <v>18</v>
      </c>
      <c r="J188" t="s">
        <v>26</v>
      </c>
      <c r="K188" t="s">
        <v>20</v>
      </c>
      <c r="L188">
        <v>0</v>
      </c>
      <c r="M188" t="s">
        <v>78</v>
      </c>
      <c r="N188">
        <v>2020</v>
      </c>
    </row>
    <row r="189" spans="1:14" x14ac:dyDescent="0.25">
      <c r="A189">
        <v>188</v>
      </c>
      <c r="B189">
        <v>44153</v>
      </c>
      <c r="C189" t="s">
        <v>13</v>
      </c>
      <c r="D189" t="s">
        <v>14</v>
      </c>
      <c r="E189" t="s">
        <v>34</v>
      </c>
      <c r="F189" t="s">
        <v>23</v>
      </c>
      <c r="G189">
        <v>0</v>
      </c>
      <c r="H189" t="s">
        <v>45</v>
      </c>
      <c r="I189" t="s">
        <v>18</v>
      </c>
      <c r="J189" t="s">
        <v>26</v>
      </c>
      <c r="K189" t="s">
        <v>50</v>
      </c>
      <c r="L189">
        <v>0</v>
      </c>
      <c r="M189" t="s">
        <v>78</v>
      </c>
      <c r="N189">
        <v>2020</v>
      </c>
    </row>
    <row r="190" spans="1:14" x14ac:dyDescent="0.25">
      <c r="A190">
        <v>189</v>
      </c>
      <c r="B190">
        <v>44154</v>
      </c>
      <c r="C190" t="s">
        <v>32</v>
      </c>
      <c r="D190" t="s">
        <v>14</v>
      </c>
      <c r="E190" t="s">
        <v>34</v>
      </c>
      <c r="F190" t="s">
        <v>48</v>
      </c>
      <c r="G190">
        <v>0</v>
      </c>
      <c r="H190" t="s">
        <v>55</v>
      </c>
      <c r="I190" t="s">
        <v>39</v>
      </c>
      <c r="J190" t="s">
        <v>19</v>
      </c>
      <c r="K190" t="s">
        <v>52</v>
      </c>
      <c r="L190">
        <v>282</v>
      </c>
      <c r="M190" t="s">
        <v>78</v>
      </c>
      <c r="N190">
        <v>2020</v>
      </c>
    </row>
    <row r="191" spans="1:14" x14ac:dyDescent="0.25">
      <c r="A191">
        <v>190</v>
      </c>
      <c r="B191">
        <v>44155</v>
      </c>
      <c r="C191" t="s">
        <v>56</v>
      </c>
      <c r="D191" t="s">
        <v>33</v>
      </c>
      <c r="E191" t="s">
        <v>34</v>
      </c>
      <c r="F191" t="s">
        <v>16</v>
      </c>
      <c r="G191">
        <v>0</v>
      </c>
      <c r="H191" t="s">
        <v>45</v>
      </c>
      <c r="I191" t="s">
        <v>39</v>
      </c>
      <c r="J191" t="s">
        <v>46</v>
      </c>
      <c r="K191" t="s">
        <v>54</v>
      </c>
      <c r="L191">
        <v>244</v>
      </c>
      <c r="M191" t="s">
        <v>78</v>
      </c>
      <c r="N191">
        <v>2020</v>
      </c>
    </row>
    <row r="192" spans="1:14" x14ac:dyDescent="0.25">
      <c r="A192">
        <v>191</v>
      </c>
      <c r="B192">
        <v>44157</v>
      </c>
      <c r="C192" t="s">
        <v>13</v>
      </c>
      <c r="D192" t="s">
        <v>14</v>
      </c>
      <c r="E192" t="s">
        <v>47</v>
      </c>
      <c r="F192" t="s">
        <v>63</v>
      </c>
      <c r="G192">
        <v>0</v>
      </c>
      <c r="H192" t="s">
        <v>37</v>
      </c>
      <c r="I192" t="s">
        <v>39</v>
      </c>
      <c r="J192" t="s">
        <v>26</v>
      </c>
      <c r="K192" t="s">
        <v>20</v>
      </c>
      <c r="L192">
        <v>278</v>
      </c>
      <c r="M192" t="s">
        <v>78</v>
      </c>
      <c r="N192">
        <v>2020</v>
      </c>
    </row>
    <row r="193" spans="1:14" x14ac:dyDescent="0.25">
      <c r="A193">
        <v>192</v>
      </c>
      <c r="B193">
        <v>44157</v>
      </c>
      <c r="C193" t="s">
        <v>64</v>
      </c>
      <c r="D193" t="s">
        <v>33</v>
      </c>
      <c r="E193" t="s">
        <v>34</v>
      </c>
      <c r="F193" t="s">
        <v>35</v>
      </c>
      <c r="G193">
        <v>5</v>
      </c>
      <c r="H193" t="s">
        <v>45</v>
      </c>
      <c r="I193" t="s">
        <v>25</v>
      </c>
      <c r="J193" t="s">
        <v>26</v>
      </c>
      <c r="K193" t="s">
        <v>27</v>
      </c>
      <c r="L193">
        <v>4879</v>
      </c>
      <c r="M193" t="s">
        <v>78</v>
      </c>
      <c r="N193">
        <v>2020</v>
      </c>
    </row>
    <row r="194" spans="1:14" x14ac:dyDescent="0.25">
      <c r="A194">
        <v>193</v>
      </c>
      <c r="B194">
        <v>44159</v>
      </c>
      <c r="C194" t="s">
        <v>56</v>
      </c>
      <c r="D194" t="s">
        <v>33</v>
      </c>
      <c r="E194" t="s">
        <v>15</v>
      </c>
      <c r="F194" t="s">
        <v>36</v>
      </c>
      <c r="G194">
        <v>0</v>
      </c>
      <c r="H194" t="s">
        <v>60</v>
      </c>
      <c r="I194" t="s">
        <v>39</v>
      </c>
      <c r="J194" t="s">
        <v>46</v>
      </c>
      <c r="K194" t="s">
        <v>50</v>
      </c>
      <c r="L194">
        <v>414</v>
      </c>
      <c r="M194" t="s">
        <v>78</v>
      </c>
      <c r="N194">
        <v>2020</v>
      </c>
    </row>
    <row r="195" spans="1:14" x14ac:dyDescent="0.25">
      <c r="A195">
        <v>194</v>
      </c>
      <c r="B195">
        <v>44160</v>
      </c>
      <c r="C195" t="s">
        <v>64</v>
      </c>
      <c r="D195" t="s">
        <v>33</v>
      </c>
      <c r="E195" t="s">
        <v>34</v>
      </c>
      <c r="F195" t="s">
        <v>16</v>
      </c>
      <c r="G195">
        <v>5</v>
      </c>
      <c r="H195" t="s">
        <v>57</v>
      </c>
      <c r="I195" t="s">
        <v>25</v>
      </c>
      <c r="J195" t="s">
        <v>26</v>
      </c>
      <c r="K195" t="s">
        <v>52</v>
      </c>
      <c r="L195">
        <v>2569</v>
      </c>
      <c r="M195" t="s">
        <v>78</v>
      </c>
      <c r="N195">
        <v>2020</v>
      </c>
    </row>
    <row r="196" spans="1:14" x14ac:dyDescent="0.25">
      <c r="A196">
        <v>195</v>
      </c>
      <c r="B196">
        <v>44164</v>
      </c>
      <c r="C196" t="s">
        <v>64</v>
      </c>
      <c r="D196" t="s">
        <v>14</v>
      </c>
      <c r="E196" t="s">
        <v>47</v>
      </c>
      <c r="F196" t="s">
        <v>29</v>
      </c>
      <c r="G196">
        <v>0</v>
      </c>
      <c r="H196" t="s">
        <v>57</v>
      </c>
      <c r="I196" t="s">
        <v>18</v>
      </c>
      <c r="J196" t="s">
        <v>26</v>
      </c>
      <c r="K196" t="s">
        <v>40</v>
      </c>
      <c r="L196">
        <v>0</v>
      </c>
      <c r="M196" t="s">
        <v>78</v>
      </c>
      <c r="N196">
        <v>2020</v>
      </c>
    </row>
    <row r="197" spans="1:14" x14ac:dyDescent="0.25">
      <c r="A197">
        <v>196</v>
      </c>
      <c r="B197">
        <v>44165</v>
      </c>
      <c r="C197" t="s">
        <v>61</v>
      </c>
      <c r="D197" t="s">
        <v>14</v>
      </c>
      <c r="E197" t="s">
        <v>22</v>
      </c>
      <c r="F197" t="s">
        <v>23</v>
      </c>
      <c r="G197">
        <v>0</v>
      </c>
      <c r="H197" t="s">
        <v>49</v>
      </c>
      <c r="I197" t="s">
        <v>53</v>
      </c>
      <c r="J197" t="s">
        <v>26</v>
      </c>
      <c r="K197" t="s">
        <v>20</v>
      </c>
      <c r="L197">
        <v>4685</v>
      </c>
      <c r="M197" t="s">
        <v>78</v>
      </c>
      <c r="N197">
        <v>2020</v>
      </c>
    </row>
    <row r="198" spans="1:14" x14ac:dyDescent="0.25">
      <c r="A198">
        <v>197</v>
      </c>
      <c r="B198">
        <v>44165</v>
      </c>
      <c r="C198" t="s">
        <v>21</v>
      </c>
      <c r="D198" t="s">
        <v>14</v>
      </c>
      <c r="E198" t="s">
        <v>34</v>
      </c>
      <c r="F198" t="s">
        <v>16</v>
      </c>
      <c r="G198">
        <v>0</v>
      </c>
      <c r="H198" t="s">
        <v>17</v>
      </c>
      <c r="I198" t="s">
        <v>53</v>
      </c>
      <c r="J198" t="s">
        <v>26</v>
      </c>
      <c r="K198" t="s">
        <v>59</v>
      </c>
      <c r="L198">
        <v>1222</v>
      </c>
      <c r="M198" t="s">
        <v>78</v>
      </c>
      <c r="N198">
        <v>2020</v>
      </c>
    </row>
    <row r="199" spans="1:14" x14ac:dyDescent="0.25">
      <c r="A199">
        <v>198</v>
      </c>
      <c r="B199">
        <v>44166</v>
      </c>
      <c r="C199" t="s">
        <v>32</v>
      </c>
      <c r="D199" t="s">
        <v>14</v>
      </c>
      <c r="E199" t="s">
        <v>15</v>
      </c>
      <c r="F199" t="s">
        <v>63</v>
      </c>
      <c r="G199">
        <v>3.5</v>
      </c>
      <c r="H199" t="s">
        <v>37</v>
      </c>
      <c r="I199" t="s">
        <v>25</v>
      </c>
      <c r="J199" t="s">
        <v>46</v>
      </c>
      <c r="K199" t="s">
        <v>52</v>
      </c>
      <c r="L199">
        <v>1806</v>
      </c>
      <c r="M199" t="s">
        <v>79</v>
      </c>
      <c r="N199">
        <v>2020</v>
      </c>
    </row>
    <row r="200" spans="1:14" x14ac:dyDescent="0.25">
      <c r="A200">
        <v>199</v>
      </c>
      <c r="B200">
        <v>44168</v>
      </c>
      <c r="C200" t="s">
        <v>61</v>
      </c>
      <c r="D200" t="s">
        <v>14</v>
      </c>
      <c r="E200" t="s">
        <v>34</v>
      </c>
      <c r="F200" t="s">
        <v>62</v>
      </c>
      <c r="G200">
        <v>0</v>
      </c>
      <c r="H200" t="s">
        <v>45</v>
      </c>
      <c r="I200" t="s">
        <v>18</v>
      </c>
      <c r="J200" t="s">
        <v>26</v>
      </c>
      <c r="K200" t="s">
        <v>43</v>
      </c>
      <c r="L200">
        <v>0</v>
      </c>
      <c r="M200" t="s">
        <v>79</v>
      </c>
      <c r="N200">
        <v>2020</v>
      </c>
    </row>
    <row r="201" spans="1:14" x14ac:dyDescent="0.25">
      <c r="A201">
        <v>200</v>
      </c>
      <c r="B201">
        <v>44169</v>
      </c>
      <c r="C201" t="s">
        <v>51</v>
      </c>
      <c r="D201" t="s">
        <v>33</v>
      </c>
      <c r="E201" t="s">
        <v>47</v>
      </c>
      <c r="F201" t="s">
        <v>16</v>
      </c>
      <c r="G201">
        <v>1</v>
      </c>
      <c r="H201" t="s">
        <v>30</v>
      </c>
      <c r="I201" t="s">
        <v>25</v>
      </c>
      <c r="J201" t="s">
        <v>19</v>
      </c>
      <c r="K201" t="s">
        <v>50</v>
      </c>
      <c r="L201">
        <v>2877</v>
      </c>
      <c r="M201" t="s">
        <v>79</v>
      </c>
      <c r="N201">
        <v>2020</v>
      </c>
    </row>
    <row r="202" spans="1:14" x14ac:dyDescent="0.25">
      <c r="A202">
        <v>201</v>
      </c>
      <c r="B202">
        <v>44169</v>
      </c>
      <c r="C202" t="s">
        <v>21</v>
      </c>
      <c r="D202" t="s">
        <v>14</v>
      </c>
      <c r="E202" t="s">
        <v>34</v>
      </c>
      <c r="F202" t="s">
        <v>29</v>
      </c>
      <c r="G202">
        <v>0</v>
      </c>
      <c r="H202" t="s">
        <v>37</v>
      </c>
      <c r="I202" t="s">
        <v>53</v>
      </c>
      <c r="J202" t="s">
        <v>19</v>
      </c>
      <c r="K202" t="s">
        <v>50</v>
      </c>
      <c r="L202">
        <v>1710</v>
      </c>
      <c r="M202" t="s">
        <v>79</v>
      </c>
      <c r="N202">
        <v>2020</v>
      </c>
    </row>
    <row r="203" spans="1:14" x14ac:dyDescent="0.25">
      <c r="A203">
        <v>202</v>
      </c>
      <c r="B203">
        <v>44169</v>
      </c>
      <c r="C203" t="s">
        <v>58</v>
      </c>
      <c r="D203" t="s">
        <v>14</v>
      </c>
      <c r="E203" t="s">
        <v>22</v>
      </c>
      <c r="F203" t="s">
        <v>48</v>
      </c>
      <c r="G203">
        <v>0</v>
      </c>
      <c r="H203" t="s">
        <v>55</v>
      </c>
      <c r="I203" t="s">
        <v>18</v>
      </c>
      <c r="J203" t="s">
        <v>19</v>
      </c>
      <c r="K203" t="s">
        <v>27</v>
      </c>
      <c r="L203">
        <v>0</v>
      </c>
      <c r="M203" t="s">
        <v>79</v>
      </c>
      <c r="N203">
        <v>2020</v>
      </c>
    </row>
    <row r="204" spans="1:14" x14ac:dyDescent="0.25">
      <c r="A204">
        <v>203</v>
      </c>
      <c r="B204">
        <v>44171</v>
      </c>
      <c r="C204" t="s">
        <v>44</v>
      </c>
      <c r="D204" t="s">
        <v>14</v>
      </c>
      <c r="E204" t="s">
        <v>42</v>
      </c>
      <c r="F204" t="s">
        <v>35</v>
      </c>
      <c r="G204">
        <v>2.5</v>
      </c>
      <c r="H204" t="s">
        <v>45</v>
      </c>
      <c r="I204" t="s">
        <v>25</v>
      </c>
      <c r="J204" t="s">
        <v>19</v>
      </c>
      <c r="K204" t="s">
        <v>52</v>
      </c>
      <c r="L204">
        <v>903</v>
      </c>
      <c r="M204" t="s">
        <v>79</v>
      </c>
      <c r="N204">
        <v>2020</v>
      </c>
    </row>
    <row r="205" spans="1:14" x14ac:dyDescent="0.25">
      <c r="A205">
        <v>204</v>
      </c>
      <c r="B205">
        <v>44173</v>
      </c>
      <c r="C205" t="s">
        <v>28</v>
      </c>
      <c r="D205" t="s">
        <v>14</v>
      </c>
      <c r="E205" t="s">
        <v>34</v>
      </c>
      <c r="F205" t="s">
        <v>16</v>
      </c>
      <c r="G205">
        <v>0</v>
      </c>
      <c r="H205" t="s">
        <v>49</v>
      </c>
      <c r="I205" t="s">
        <v>39</v>
      </c>
      <c r="J205" t="s">
        <v>19</v>
      </c>
      <c r="K205" t="s">
        <v>20</v>
      </c>
      <c r="L205">
        <v>115</v>
      </c>
      <c r="M205" t="s">
        <v>79</v>
      </c>
      <c r="N205">
        <v>2020</v>
      </c>
    </row>
    <row r="206" spans="1:14" x14ac:dyDescent="0.25">
      <c r="A206">
        <v>205</v>
      </c>
      <c r="B206">
        <v>44173</v>
      </c>
      <c r="C206" t="s">
        <v>44</v>
      </c>
      <c r="D206" t="s">
        <v>14</v>
      </c>
      <c r="E206" t="s">
        <v>47</v>
      </c>
      <c r="F206" t="s">
        <v>62</v>
      </c>
      <c r="G206">
        <v>0</v>
      </c>
      <c r="H206" t="s">
        <v>30</v>
      </c>
      <c r="I206" t="s">
        <v>53</v>
      </c>
      <c r="J206" t="s">
        <v>26</v>
      </c>
      <c r="K206" t="s">
        <v>52</v>
      </c>
      <c r="L206">
        <v>1168</v>
      </c>
      <c r="M206" t="s">
        <v>79</v>
      </c>
      <c r="N206">
        <v>2020</v>
      </c>
    </row>
    <row r="207" spans="1:14" x14ac:dyDescent="0.25">
      <c r="A207">
        <v>206</v>
      </c>
      <c r="B207">
        <v>44174</v>
      </c>
      <c r="C207" t="s">
        <v>56</v>
      </c>
      <c r="D207" t="s">
        <v>14</v>
      </c>
      <c r="E207" t="s">
        <v>34</v>
      </c>
      <c r="F207" t="s">
        <v>62</v>
      </c>
      <c r="G207">
        <v>5</v>
      </c>
      <c r="H207" t="s">
        <v>55</v>
      </c>
      <c r="I207" t="s">
        <v>25</v>
      </c>
      <c r="J207" t="s">
        <v>46</v>
      </c>
      <c r="K207" t="s">
        <v>59</v>
      </c>
      <c r="L207">
        <v>2479</v>
      </c>
      <c r="M207" t="s">
        <v>79</v>
      </c>
      <c r="N207">
        <v>2020</v>
      </c>
    </row>
    <row r="208" spans="1:14" x14ac:dyDescent="0.25">
      <c r="A208">
        <v>207</v>
      </c>
      <c r="B208">
        <v>44175</v>
      </c>
      <c r="C208" t="s">
        <v>13</v>
      </c>
      <c r="D208" t="s">
        <v>14</v>
      </c>
      <c r="E208" t="s">
        <v>15</v>
      </c>
      <c r="F208" t="s">
        <v>48</v>
      </c>
      <c r="G208">
        <v>0</v>
      </c>
      <c r="H208" t="s">
        <v>37</v>
      </c>
      <c r="I208" t="s">
        <v>18</v>
      </c>
      <c r="J208" t="s">
        <v>26</v>
      </c>
      <c r="K208" t="s">
        <v>20</v>
      </c>
      <c r="L208">
        <v>0</v>
      </c>
      <c r="M208" t="s">
        <v>79</v>
      </c>
      <c r="N208">
        <v>2020</v>
      </c>
    </row>
    <row r="209" spans="1:14" x14ac:dyDescent="0.25">
      <c r="A209">
        <v>208</v>
      </c>
      <c r="B209">
        <v>44176</v>
      </c>
      <c r="C209" t="s">
        <v>61</v>
      </c>
      <c r="D209" t="s">
        <v>14</v>
      </c>
      <c r="E209" t="s">
        <v>15</v>
      </c>
      <c r="F209" t="s">
        <v>63</v>
      </c>
      <c r="G209">
        <v>0</v>
      </c>
      <c r="H209" t="s">
        <v>49</v>
      </c>
      <c r="I209" t="s">
        <v>39</v>
      </c>
      <c r="J209" t="s">
        <v>19</v>
      </c>
      <c r="K209" t="s">
        <v>52</v>
      </c>
      <c r="L209">
        <v>361</v>
      </c>
      <c r="M209" t="s">
        <v>79</v>
      </c>
      <c r="N209">
        <v>2020</v>
      </c>
    </row>
    <row r="210" spans="1:14" x14ac:dyDescent="0.25">
      <c r="A210">
        <v>209</v>
      </c>
      <c r="B210">
        <v>44177</v>
      </c>
      <c r="C210" t="s">
        <v>64</v>
      </c>
      <c r="D210" t="s">
        <v>14</v>
      </c>
      <c r="E210" t="s">
        <v>22</v>
      </c>
      <c r="F210" t="s">
        <v>62</v>
      </c>
      <c r="G210">
        <v>0</v>
      </c>
      <c r="H210" t="s">
        <v>17</v>
      </c>
      <c r="I210" t="s">
        <v>53</v>
      </c>
      <c r="J210" t="s">
        <v>19</v>
      </c>
      <c r="K210" t="s">
        <v>50</v>
      </c>
      <c r="L210">
        <v>4176</v>
      </c>
      <c r="M210" t="s">
        <v>79</v>
      </c>
      <c r="N210">
        <v>2020</v>
      </c>
    </row>
    <row r="211" spans="1:14" x14ac:dyDescent="0.25">
      <c r="A211">
        <v>210</v>
      </c>
      <c r="B211">
        <v>44181</v>
      </c>
      <c r="C211" t="s">
        <v>44</v>
      </c>
      <c r="D211" t="s">
        <v>14</v>
      </c>
      <c r="E211" t="s">
        <v>34</v>
      </c>
      <c r="F211" t="s">
        <v>16</v>
      </c>
      <c r="G211">
        <v>3</v>
      </c>
      <c r="H211" t="s">
        <v>57</v>
      </c>
      <c r="I211" t="s">
        <v>25</v>
      </c>
      <c r="J211" t="s">
        <v>19</v>
      </c>
      <c r="K211" t="s">
        <v>40</v>
      </c>
      <c r="L211">
        <v>3846</v>
      </c>
      <c r="M211" t="s">
        <v>79</v>
      </c>
      <c r="N211">
        <v>2020</v>
      </c>
    </row>
    <row r="212" spans="1:14" x14ac:dyDescent="0.25">
      <c r="A212">
        <v>211</v>
      </c>
      <c r="B212">
        <v>44183</v>
      </c>
      <c r="C212" t="s">
        <v>64</v>
      </c>
      <c r="D212" t="s">
        <v>14</v>
      </c>
      <c r="E212" t="s">
        <v>15</v>
      </c>
      <c r="F212" t="s">
        <v>38</v>
      </c>
      <c r="G212">
        <v>0</v>
      </c>
      <c r="H212" t="s">
        <v>24</v>
      </c>
      <c r="I212" t="s">
        <v>53</v>
      </c>
      <c r="J212" t="s">
        <v>19</v>
      </c>
      <c r="K212" t="s">
        <v>59</v>
      </c>
      <c r="L212">
        <v>4288</v>
      </c>
      <c r="M212" t="s">
        <v>79</v>
      </c>
      <c r="N212">
        <v>2020</v>
      </c>
    </row>
    <row r="213" spans="1:14" x14ac:dyDescent="0.25">
      <c r="A213">
        <v>212</v>
      </c>
      <c r="B213">
        <v>44188</v>
      </c>
      <c r="C213" t="s">
        <v>56</v>
      </c>
      <c r="D213" t="s">
        <v>14</v>
      </c>
      <c r="E213" t="s">
        <v>34</v>
      </c>
      <c r="F213" t="s">
        <v>48</v>
      </c>
      <c r="G213">
        <v>2.5</v>
      </c>
      <c r="H213" t="s">
        <v>60</v>
      </c>
      <c r="I213" t="s">
        <v>25</v>
      </c>
      <c r="J213" t="s">
        <v>46</v>
      </c>
      <c r="K213" t="s">
        <v>40</v>
      </c>
      <c r="L213">
        <v>3734</v>
      </c>
      <c r="M213" t="s">
        <v>79</v>
      </c>
      <c r="N213">
        <v>2020</v>
      </c>
    </row>
    <row r="214" spans="1:14" x14ac:dyDescent="0.25">
      <c r="A214">
        <v>213</v>
      </c>
      <c r="B214">
        <v>44188</v>
      </c>
      <c r="C214" t="s">
        <v>13</v>
      </c>
      <c r="D214" t="s">
        <v>14</v>
      </c>
      <c r="E214" t="s">
        <v>47</v>
      </c>
      <c r="F214" t="s">
        <v>35</v>
      </c>
      <c r="G214">
        <v>0</v>
      </c>
      <c r="H214" t="s">
        <v>37</v>
      </c>
      <c r="I214" t="s">
        <v>18</v>
      </c>
      <c r="J214" t="s">
        <v>19</v>
      </c>
      <c r="K214" t="s">
        <v>20</v>
      </c>
      <c r="L214">
        <v>0</v>
      </c>
      <c r="M214" t="s">
        <v>79</v>
      </c>
      <c r="N214">
        <v>2020</v>
      </c>
    </row>
    <row r="215" spans="1:14" x14ac:dyDescent="0.25">
      <c r="A215">
        <v>214</v>
      </c>
      <c r="B215">
        <v>44189</v>
      </c>
      <c r="C215" t="s">
        <v>58</v>
      </c>
      <c r="D215" t="s">
        <v>14</v>
      </c>
      <c r="E215" t="s">
        <v>15</v>
      </c>
      <c r="F215" t="s">
        <v>48</v>
      </c>
      <c r="G215">
        <v>0</v>
      </c>
      <c r="H215" t="s">
        <v>60</v>
      </c>
      <c r="I215" t="s">
        <v>18</v>
      </c>
      <c r="J215" t="s">
        <v>46</v>
      </c>
      <c r="K215" t="s">
        <v>54</v>
      </c>
      <c r="L215">
        <v>0</v>
      </c>
      <c r="M215" t="s">
        <v>79</v>
      </c>
      <c r="N215">
        <v>2020</v>
      </c>
    </row>
    <row r="216" spans="1:14" x14ac:dyDescent="0.25">
      <c r="A216">
        <v>215</v>
      </c>
      <c r="B216">
        <v>44190</v>
      </c>
      <c r="C216" t="s">
        <v>56</v>
      </c>
      <c r="D216" t="s">
        <v>14</v>
      </c>
      <c r="E216" t="s">
        <v>22</v>
      </c>
      <c r="F216" t="s">
        <v>29</v>
      </c>
      <c r="G216">
        <v>2.5</v>
      </c>
      <c r="H216" t="s">
        <v>60</v>
      </c>
      <c r="I216" t="s">
        <v>25</v>
      </c>
      <c r="J216" t="s">
        <v>19</v>
      </c>
      <c r="K216" t="s">
        <v>27</v>
      </c>
      <c r="L216">
        <v>1486</v>
      </c>
      <c r="M216" t="s">
        <v>79</v>
      </c>
      <c r="N216">
        <v>2020</v>
      </c>
    </row>
    <row r="217" spans="1:14" x14ac:dyDescent="0.25">
      <c r="A217">
        <v>216</v>
      </c>
      <c r="B217">
        <v>44190</v>
      </c>
      <c r="C217" t="s">
        <v>32</v>
      </c>
      <c r="D217" t="s">
        <v>14</v>
      </c>
      <c r="E217" t="s">
        <v>22</v>
      </c>
      <c r="F217" t="s">
        <v>48</v>
      </c>
      <c r="G217">
        <v>0</v>
      </c>
      <c r="H217" t="s">
        <v>24</v>
      </c>
      <c r="I217" t="s">
        <v>18</v>
      </c>
      <c r="J217" t="s">
        <v>46</v>
      </c>
      <c r="K217" t="s">
        <v>40</v>
      </c>
      <c r="L217">
        <v>0</v>
      </c>
      <c r="M217" t="s">
        <v>79</v>
      </c>
      <c r="N217">
        <v>2020</v>
      </c>
    </row>
    <row r="218" spans="1:14" x14ac:dyDescent="0.25">
      <c r="A218">
        <v>217</v>
      </c>
      <c r="B218">
        <v>44192</v>
      </c>
      <c r="C218" t="s">
        <v>28</v>
      </c>
      <c r="D218" t="s">
        <v>14</v>
      </c>
      <c r="E218" t="s">
        <v>22</v>
      </c>
      <c r="F218" t="s">
        <v>35</v>
      </c>
      <c r="G218">
        <v>0</v>
      </c>
      <c r="H218" t="s">
        <v>30</v>
      </c>
      <c r="I218" t="s">
        <v>53</v>
      </c>
      <c r="J218" t="s">
        <v>26</v>
      </c>
      <c r="K218" t="s">
        <v>40</v>
      </c>
      <c r="L218">
        <v>733</v>
      </c>
      <c r="M218" t="s">
        <v>79</v>
      </c>
      <c r="N218">
        <v>2020</v>
      </c>
    </row>
    <row r="219" spans="1:14" x14ac:dyDescent="0.25">
      <c r="A219">
        <v>218</v>
      </c>
      <c r="B219">
        <v>44192</v>
      </c>
      <c r="C219" t="s">
        <v>32</v>
      </c>
      <c r="D219" t="s">
        <v>14</v>
      </c>
      <c r="E219" t="s">
        <v>15</v>
      </c>
      <c r="F219" t="s">
        <v>16</v>
      </c>
      <c r="G219">
        <v>0</v>
      </c>
      <c r="H219" t="s">
        <v>60</v>
      </c>
      <c r="I219" t="s">
        <v>39</v>
      </c>
      <c r="J219" t="s">
        <v>26</v>
      </c>
      <c r="K219" t="s">
        <v>40</v>
      </c>
      <c r="L219">
        <v>265</v>
      </c>
      <c r="M219" t="s">
        <v>79</v>
      </c>
      <c r="N219">
        <v>2020</v>
      </c>
    </row>
    <row r="220" spans="1:14" x14ac:dyDescent="0.25">
      <c r="A220">
        <v>219</v>
      </c>
      <c r="B220">
        <v>44195</v>
      </c>
      <c r="C220" t="s">
        <v>65</v>
      </c>
      <c r="D220" t="s">
        <v>14</v>
      </c>
      <c r="E220" t="s">
        <v>15</v>
      </c>
      <c r="F220" t="s">
        <v>16</v>
      </c>
      <c r="G220">
        <v>0</v>
      </c>
      <c r="H220" t="s">
        <v>37</v>
      </c>
      <c r="I220" t="s">
        <v>53</v>
      </c>
      <c r="J220" t="s">
        <v>19</v>
      </c>
      <c r="K220" t="s">
        <v>43</v>
      </c>
      <c r="L220">
        <v>5000</v>
      </c>
      <c r="M220" t="s">
        <v>79</v>
      </c>
      <c r="N220">
        <v>2020</v>
      </c>
    </row>
    <row r="221" spans="1:14" x14ac:dyDescent="0.25">
      <c r="A221">
        <v>220</v>
      </c>
      <c r="B221">
        <v>44195</v>
      </c>
      <c r="C221" t="s">
        <v>65</v>
      </c>
      <c r="D221" t="s">
        <v>14</v>
      </c>
      <c r="E221" t="s">
        <v>47</v>
      </c>
      <c r="F221" t="s">
        <v>48</v>
      </c>
      <c r="G221">
        <v>0</v>
      </c>
      <c r="H221" t="s">
        <v>57</v>
      </c>
      <c r="I221" t="s">
        <v>53</v>
      </c>
      <c r="J221" t="s">
        <v>26</v>
      </c>
      <c r="K221" t="s">
        <v>54</v>
      </c>
      <c r="L221">
        <v>4366</v>
      </c>
      <c r="M221" t="s">
        <v>79</v>
      </c>
      <c r="N221">
        <v>2020</v>
      </c>
    </row>
    <row r="222" spans="1:14" x14ac:dyDescent="0.25">
      <c r="A222">
        <v>221</v>
      </c>
      <c r="B222">
        <v>44196</v>
      </c>
      <c r="C222" t="s">
        <v>64</v>
      </c>
      <c r="D222" t="s">
        <v>14</v>
      </c>
      <c r="E222" t="s">
        <v>42</v>
      </c>
      <c r="F222" t="s">
        <v>16</v>
      </c>
      <c r="G222">
        <v>2</v>
      </c>
      <c r="H222" t="s">
        <v>49</v>
      </c>
      <c r="I222" t="s">
        <v>25</v>
      </c>
      <c r="J222" t="s">
        <v>26</v>
      </c>
      <c r="K222" t="s">
        <v>54</v>
      </c>
      <c r="L222">
        <v>3060</v>
      </c>
      <c r="M222" t="s">
        <v>79</v>
      </c>
      <c r="N222">
        <v>2020</v>
      </c>
    </row>
    <row r="223" spans="1:14" x14ac:dyDescent="0.25">
      <c r="A223">
        <v>222</v>
      </c>
      <c r="B223">
        <v>44199</v>
      </c>
      <c r="C223" t="s">
        <v>51</v>
      </c>
      <c r="D223" t="s">
        <v>33</v>
      </c>
      <c r="E223" t="s">
        <v>47</v>
      </c>
      <c r="F223" t="s">
        <v>38</v>
      </c>
      <c r="G223">
        <v>0</v>
      </c>
      <c r="H223" t="s">
        <v>24</v>
      </c>
      <c r="I223" t="s">
        <v>53</v>
      </c>
      <c r="J223" t="s">
        <v>19</v>
      </c>
      <c r="K223" t="s">
        <v>54</v>
      </c>
      <c r="L223">
        <v>503</v>
      </c>
      <c r="M223" t="s">
        <v>68</v>
      </c>
      <c r="N223">
        <v>2021</v>
      </c>
    </row>
    <row r="224" spans="1:14" x14ac:dyDescent="0.25">
      <c r="A224">
        <v>223</v>
      </c>
      <c r="B224">
        <v>44199</v>
      </c>
      <c r="C224" t="s">
        <v>64</v>
      </c>
      <c r="D224" t="s">
        <v>33</v>
      </c>
      <c r="E224" t="s">
        <v>47</v>
      </c>
      <c r="F224" t="s">
        <v>38</v>
      </c>
      <c r="G224">
        <v>0</v>
      </c>
      <c r="H224" t="s">
        <v>30</v>
      </c>
      <c r="I224" t="s">
        <v>53</v>
      </c>
      <c r="J224" t="s">
        <v>19</v>
      </c>
      <c r="K224" t="s">
        <v>20</v>
      </c>
      <c r="L224">
        <v>3846</v>
      </c>
      <c r="M224" t="s">
        <v>68</v>
      </c>
      <c r="N224">
        <v>2021</v>
      </c>
    </row>
    <row r="225" spans="1:14" x14ac:dyDescent="0.25">
      <c r="A225">
        <v>224</v>
      </c>
      <c r="B225">
        <v>44202</v>
      </c>
      <c r="C225" t="s">
        <v>51</v>
      </c>
      <c r="D225" t="s">
        <v>14</v>
      </c>
      <c r="E225" t="s">
        <v>15</v>
      </c>
      <c r="F225" t="s">
        <v>23</v>
      </c>
      <c r="G225">
        <v>0</v>
      </c>
      <c r="H225" t="s">
        <v>49</v>
      </c>
      <c r="I225" t="s">
        <v>53</v>
      </c>
      <c r="J225" t="s">
        <v>26</v>
      </c>
      <c r="K225" t="s">
        <v>27</v>
      </c>
      <c r="L225">
        <v>1690</v>
      </c>
      <c r="M225" t="s">
        <v>68</v>
      </c>
      <c r="N225">
        <v>2021</v>
      </c>
    </row>
    <row r="226" spans="1:14" x14ac:dyDescent="0.25">
      <c r="A226">
        <v>225</v>
      </c>
      <c r="B226">
        <v>44203</v>
      </c>
      <c r="C226" t="s">
        <v>51</v>
      </c>
      <c r="D226" t="s">
        <v>14</v>
      </c>
      <c r="E226" t="s">
        <v>42</v>
      </c>
      <c r="F226" t="s">
        <v>29</v>
      </c>
      <c r="G226">
        <v>0</v>
      </c>
      <c r="H226" t="s">
        <v>17</v>
      </c>
      <c r="I226" t="s">
        <v>53</v>
      </c>
      <c r="J226" t="s">
        <v>19</v>
      </c>
      <c r="K226" t="s">
        <v>54</v>
      </c>
      <c r="L226">
        <v>1010</v>
      </c>
      <c r="M226" t="s">
        <v>68</v>
      </c>
      <c r="N226">
        <v>2021</v>
      </c>
    </row>
    <row r="227" spans="1:14" x14ac:dyDescent="0.25">
      <c r="A227">
        <v>226</v>
      </c>
      <c r="B227">
        <v>44204</v>
      </c>
      <c r="C227" t="s">
        <v>65</v>
      </c>
      <c r="D227" t="s">
        <v>14</v>
      </c>
      <c r="E227" t="s">
        <v>15</v>
      </c>
      <c r="F227" t="s">
        <v>35</v>
      </c>
      <c r="G227">
        <v>0</v>
      </c>
      <c r="H227" t="s">
        <v>49</v>
      </c>
      <c r="I227" t="s">
        <v>18</v>
      </c>
      <c r="J227" t="s">
        <v>19</v>
      </c>
      <c r="K227" t="s">
        <v>20</v>
      </c>
      <c r="L227">
        <v>0</v>
      </c>
      <c r="M227" t="s">
        <v>68</v>
      </c>
      <c r="N227">
        <v>2021</v>
      </c>
    </row>
    <row r="228" spans="1:14" x14ac:dyDescent="0.25">
      <c r="A228">
        <v>227</v>
      </c>
      <c r="B228">
        <v>44204</v>
      </c>
      <c r="C228" t="s">
        <v>56</v>
      </c>
      <c r="D228" t="s">
        <v>14</v>
      </c>
      <c r="E228" t="s">
        <v>15</v>
      </c>
      <c r="F228" t="s">
        <v>63</v>
      </c>
      <c r="G228">
        <v>0</v>
      </c>
      <c r="H228" t="s">
        <v>60</v>
      </c>
      <c r="I228" t="s">
        <v>18</v>
      </c>
      <c r="J228" t="s">
        <v>46</v>
      </c>
      <c r="K228" t="s">
        <v>50</v>
      </c>
      <c r="L228">
        <v>0</v>
      </c>
      <c r="M228" t="s">
        <v>68</v>
      </c>
      <c r="N228">
        <v>2021</v>
      </c>
    </row>
    <row r="229" spans="1:14" x14ac:dyDescent="0.25">
      <c r="A229">
        <v>228</v>
      </c>
      <c r="B229">
        <v>44204</v>
      </c>
      <c r="C229" t="s">
        <v>32</v>
      </c>
      <c r="D229" t="s">
        <v>14</v>
      </c>
      <c r="E229" t="s">
        <v>47</v>
      </c>
      <c r="F229" t="s">
        <v>36</v>
      </c>
      <c r="G229">
        <v>4</v>
      </c>
      <c r="H229" t="s">
        <v>55</v>
      </c>
      <c r="I229" t="s">
        <v>25</v>
      </c>
      <c r="J229" t="s">
        <v>19</v>
      </c>
      <c r="K229" t="s">
        <v>31</v>
      </c>
      <c r="L229">
        <v>1190</v>
      </c>
      <c r="M229" t="s">
        <v>68</v>
      </c>
      <c r="N229">
        <v>2021</v>
      </c>
    </row>
    <row r="230" spans="1:14" x14ac:dyDescent="0.25">
      <c r="A230">
        <v>229</v>
      </c>
      <c r="B230">
        <v>44207</v>
      </c>
      <c r="C230" t="s">
        <v>65</v>
      </c>
      <c r="D230" t="s">
        <v>14</v>
      </c>
      <c r="E230" t="s">
        <v>47</v>
      </c>
      <c r="F230" t="s">
        <v>48</v>
      </c>
      <c r="G230">
        <v>0</v>
      </c>
      <c r="H230" t="s">
        <v>49</v>
      </c>
      <c r="I230" t="s">
        <v>53</v>
      </c>
      <c r="J230" t="s">
        <v>26</v>
      </c>
      <c r="K230" t="s">
        <v>31</v>
      </c>
      <c r="L230">
        <v>2459</v>
      </c>
      <c r="M230" t="s">
        <v>68</v>
      </c>
      <c r="N230">
        <v>2021</v>
      </c>
    </row>
    <row r="231" spans="1:14" x14ac:dyDescent="0.25">
      <c r="A231">
        <v>230</v>
      </c>
      <c r="B231">
        <v>44209</v>
      </c>
      <c r="C231" t="s">
        <v>21</v>
      </c>
      <c r="D231" t="s">
        <v>14</v>
      </c>
      <c r="E231" t="s">
        <v>34</v>
      </c>
      <c r="F231" t="s">
        <v>35</v>
      </c>
      <c r="G231">
        <v>1.5</v>
      </c>
      <c r="H231" t="s">
        <v>49</v>
      </c>
      <c r="I231" t="s">
        <v>25</v>
      </c>
      <c r="J231" t="s">
        <v>46</v>
      </c>
      <c r="K231" t="s">
        <v>52</v>
      </c>
      <c r="L231">
        <v>995</v>
      </c>
      <c r="M231" t="s">
        <v>68</v>
      </c>
      <c r="N231">
        <v>2021</v>
      </c>
    </row>
    <row r="232" spans="1:14" x14ac:dyDescent="0.25">
      <c r="A232">
        <v>231</v>
      </c>
      <c r="B232">
        <v>44212</v>
      </c>
      <c r="C232" t="s">
        <v>56</v>
      </c>
      <c r="D232" t="s">
        <v>14</v>
      </c>
      <c r="E232" t="s">
        <v>15</v>
      </c>
      <c r="F232" t="s">
        <v>38</v>
      </c>
      <c r="G232">
        <v>2</v>
      </c>
      <c r="H232" t="s">
        <v>24</v>
      </c>
      <c r="I232" t="s">
        <v>25</v>
      </c>
      <c r="J232" t="s">
        <v>26</v>
      </c>
      <c r="K232" t="s">
        <v>31</v>
      </c>
      <c r="L232">
        <v>2593</v>
      </c>
      <c r="M232" t="s">
        <v>68</v>
      </c>
      <c r="N232">
        <v>2021</v>
      </c>
    </row>
    <row r="233" spans="1:14" x14ac:dyDescent="0.25">
      <c r="A233">
        <v>232</v>
      </c>
      <c r="B233">
        <v>44215</v>
      </c>
      <c r="C233" t="s">
        <v>65</v>
      </c>
      <c r="D233" t="s">
        <v>14</v>
      </c>
      <c r="E233" t="s">
        <v>42</v>
      </c>
      <c r="F233" t="s">
        <v>36</v>
      </c>
      <c r="G233">
        <v>0</v>
      </c>
      <c r="H233" t="s">
        <v>49</v>
      </c>
      <c r="I233" t="s">
        <v>18</v>
      </c>
      <c r="J233" t="s">
        <v>26</v>
      </c>
      <c r="K233" t="s">
        <v>31</v>
      </c>
      <c r="L233">
        <v>0</v>
      </c>
      <c r="M233" t="s">
        <v>68</v>
      </c>
      <c r="N233">
        <v>2021</v>
      </c>
    </row>
    <row r="234" spans="1:14" x14ac:dyDescent="0.25">
      <c r="A234">
        <v>233</v>
      </c>
      <c r="B234">
        <v>44219</v>
      </c>
      <c r="C234" t="s">
        <v>41</v>
      </c>
      <c r="D234" t="s">
        <v>14</v>
      </c>
      <c r="E234" t="s">
        <v>34</v>
      </c>
      <c r="F234" t="s">
        <v>35</v>
      </c>
      <c r="G234">
        <v>0</v>
      </c>
      <c r="H234" t="s">
        <v>17</v>
      </c>
      <c r="I234" t="s">
        <v>39</v>
      </c>
      <c r="J234" t="s">
        <v>19</v>
      </c>
      <c r="K234" t="s">
        <v>20</v>
      </c>
      <c r="L234">
        <v>8</v>
      </c>
      <c r="M234" t="s">
        <v>68</v>
      </c>
      <c r="N234">
        <v>2021</v>
      </c>
    </row>
    <row r="235" spans="1:14" x14ac:dyDescent="0.25">
      <c r="A235">
        <v>234</v>
      </c>
      <c r="B235">
        <v>44221</v>
      </c>
      <c r="C235" t="s">
        <v>61</v>
      </c>
      <c r="D235" t="s">
        <v>14</v>
      </c>
      <c r="E235" t="s">
        <v>34</v>
      </c>
      <c r="F235" t="s">
        <v>23</v>
      </c>
      <c r="G235">
        <v>0</v>
      </c>
      <c r="H235" t="s">
        <v>17</v>
      </c>
      <c r="I235" t="s">
        <v>53</v>
      </c>
      <c r="J235" t="s">
        <v>26</v>
      </c>
      <c r="K235" t="s">
        <v>59</v>
      </c>
      <c r="L235">
        <v>4259</v>
      </c>
      <c r="M235" t="s">
        <v>68</v>
      </c>
      <c r="N235">
        <v>2021</v>
      </c>
    </row>
    <row r="236" spans="1:14" x14ac:dyDescent="0.25">
      <c r="A236">
        <v>235</v>
      </c>
      <c r="B236">
        <v>44222</v>
      </c>
      <c r="C236" t="s">
        <v>65</v>
      </c>
      <c r="D236" t="s">
        <v>14</v>
      </c>
      <c r="E236" t="s">
        <v>22</v>
      </c>
      <c r="F236" t="s">
        <v>16</v>
      </c>
      <c r="G236">
        <v>0</v>
      </c>
      <c r="H236" t="s">
        <v>55</v>
      </c>
      <c r="I236" t="s">
        <v>53</v>
      </c>
      <c r="J236" t="s">
        <v>46</v>
      </c>
      <c r="K236" t="s">
        <v>31</v>
      </c>
      <c r="L236">
        <v>2582</v>
      </c>
      <c r="M236" t="s">
        <v>68</v>
      </c>
      <c r="N236">
        <v>2021</v>
      </c>
    </row>
    <row r="237" spans="1:14" x14ac:dyDescent="0.25">
      <c r="A237">
        <v>236</v>
      </c>
      <c r="B237">
        <v>44223</v>
      </c>
      <c r="C237" t="s">
        <v>32</v>
      </c>
      <c r="D237" t="s">
        <v>14</v>
      </c>
      <c r="E237" t="s">
        <v>15</v>
      </c>
      <c r="F237" t="s">
        <v>48</v>
      </c>
      <c r="G237">
        <v>0</v>
      </c>
      <c r="H237" t="s">
        <v>17</v>
      </c>
      <c r="I237" t="s">
        <v>39</v>
      </c>
      <c r="J237" t="s">
        <v>46</v>
      </c>
      <c r="K237" t="s">
        <v>52</v>
      </c>
      <c r="L237">
        <v>66</v>
      </c>
      <c r="M237" t="s">
        <v>68</v>
      </c>
      <c r="N237">
        <v>2021</v>
      </c>
    </row>
    <row r="238" spans="1:14" x14ac:dyDescent="0.25">
      <c r="A238">
        <v>237</v>
      </c>
      <c r="B238">
        <v>44229</v>
      </c>
      <c r="C238" t="s">
        <v>21</v>
      </c>
      <c r="D238" t="s">
        <v>14</v>
      </c>
      <c r="E238" t="s">
        <v>15</v>
      </c>
      <c r="F238" t="s">
        <v>48</v>
      </c>
      <c r="G238">
        <v>0.5</v>
      </c>
      <c r="H238" t="s">
        <v>60</v>
      </c>
      <c r="I238" t="s">
        <v>25</v>
      </c>
      <c r="J238" t="s">
        <v>26</v>
      </c>
      <c r="K238" t="s">
        <v>43</v>
      </c>
      <c r="L238">
        <v>2437</v>
      </c>
      <c r="M238" t="s">
        <v>69</v>
      </c>
      <c r="N238">
        <v>2021</v>
      </c>
    </row>
    <row r="239" spans="1:14" x14ac:dyDescent="0.25">
      <c r="A239">
        <v>238</v>
      </c>
      <c r="B239">
        <v>44229</v>
      </c>
      <c r="C239" t="s">
        <v>56</v>
      </c>
      <c r="D239" t="s">
        <v>33</v>
      </c>
      <c r="E239" t="s">
        <v>34</v>
      </c>
      <c r="F239" t="s">
        <v>23</v>
      </c>
      <c r="G239">
        <v>0</v>
      </c>
      <c r="H239" t="s">
        <v>24</v>
      </c>
      <c r="I239" t="s">
        <v>18</v>
      </c>
      <c r="J239" t="s">
        <v>26</v>
      </c>
      <c r="K239" t="s">
        <v>20</v>
      </c>
      <c r="L239">
        <v>0</v>
      </c>
      <c r="M239" t="s">
        <v>69</v>
      </c>
      <c r="N239">
        <v>2021</v>
      </c>
    </row>
    <row r="240" spans="1:14" x14ac:dyDescent="0.25">
      <c r="A240">
        <v>239</v>
      </c>
      <c r="B240">
        <v>44230</v>
      </c>
      <c r="C240" t="s">
        <v>51</v>
      </c>
      <c r="D240" t="s">
        <v>14</v>
      </c>
      <c r="E240" t="s">
        <v>34</v>
      </c>
      <c r="F240" t="s">
        <v>63</v>
      </c>
      <c r="G240">
        <v>0</v>
      </c>
      <c r="H240" t="s">
        <v>60</v>
      </c>
      <c r="I240" t="s">
        <v>53</v>
      </c>
      <c r="J240" t="s">
        <v>26</v>
      </c>
      <c r="K240" t="s">
        <v>20</v>
      </c>
      <c r="L240">
        <v>2359</v>
      </c>
      <c r="M240" t="s">
        <v>69</v>
      </c>
      <c r="N240">
        <v>2021</v>
      </c>
    </row>
    <row r="241" spans="1:14" x14ac:dyDescent="0.25">
      <c r="A241">
        <v>240</v>
      </c>
      <c r="B241">
        <v>44234</v>
      </c>
      <c r="C241" t="s">
        <v>41</v>
      </c>
      <c r="D241" t="s">
        <v>14</v>
      </c>
      <c r="E241" t="s">
        <v>34</v>
      </c>
      <c r="F241" t="s">
        <v>16</v>
      </c>
      <c r="G241">
        <v>0</v>
      </c>
      <c r="H241" t="s">
        <v>37</v>
      </c>
      <c r="I241" t="s">
        <v>53</v>
      </c>
      <c r="J241" t="s">
        <v>46</v>
      </c>
      <c r="K241" t="s">
        <v>20</v>
      </c>
      <c r="L241">
        <v>653</v>
      </c>
      <c r="M241" t="s">
        <v>69</v>
      </c>
      <c r="N241">
        <v>2021</v>
      </c>
    </row>
    <row r="242" spans="1:14" x14ac:dyDescent="0.25">
      <c r="A242">
        <v>241</v>
      </c>
      <c r="B242">
        <v>44238</v>
      </c>
      <c r="C242" t="s">
        <v>32</v>
      </c>
      <c r="D242" t="s">
        <v>14</v>
      </c>
      <c r="E242" t="s">
        <v>15</v>
      </c>
      <c r="F242" t="s">
        <v>29</v>
      </c>
      <c r="G242">
        <v>0</v>
      </c>
      <c r="H242" t="s">
        <v>17</v>
      </c>
      <c r="I242" t="s">
        <v>53</v>
      </c>
      <c r="J242" t="s">
        <v>19</v>
      </c>
      <c r="K242" t="s">
        <v>20</v>
      </c>
      <c r="L242">
        <v>3487</v>
      </c>
      <c r="M242" t="s">
        <v>69</v>
      </c>
      <c r="N242">
        <v>2021</v>
      </c>
    </row>
    <row r="243" spans="1:14" x14ac:dyDescent="0.25">
      <c r="A243">
        <v>242</v>
      </c>
      <c r="B243">
        <v>44238</v>
      </c>
      <c r="C243" t="s">
        <v>44</v>
      </c>
      <c r="D243" t="s">
        <v>14</v>
      </c>
      <c r="E243" t="s">
        <v>47</v>
      </c>
      <c r="F243" t="s">
        <v>35</v>
      </c>
      <c r="G243">
        <v>0</v>
      </c>
      <c r="H243" t="s">
        <v>45</v>
      </c>
      <c r="I243" t="s">
        <v>39</v>
      </c>
      <c r="J243" t="s">
        <v>19</v>
      </c>
      <c r="K243" t="s">
        <v>59</v>
      </c>
      <c r="L243">
        <v>67</v>
      </c>
      <c r="M243" t="s">
        <v>69</v>
      </c>
      <c r="N243">
        <v>2021</v>
      </c>
    </row>
    <row r="244" spans="1:14" x14ac:dyDescent="0.25">
      <c r="A244">
        <v>243</v>
      </c>
      <c r="B244">
        <v>44240</v>
      </c>
      <c r="C244" t="s">
        <v>41</v>
      </c>
      <c r="D244" t="s">
        <v>14</v>
      </c>
      <c r="E244" t="s">
        <v>34</v>
      </c>
      <c r="F244" t="s">
        <v>38</v>
      </c>
      <c r="G244">
        <v>2.5</v>
      </c>
      <c r="H244" t="s">
        <v>24</v>
      </c>
      <c r="I244" t="s">
        <v>25</v>
      </c>
      <c r="J244" t="s">
        <v>46</v>
      </c>
      <c r="K244" t="s">
        <v>52</v>
      </c>
      <c r="L244">
        <v>1922</v>
      </c>
      <c r="M244" t="s">
        <v>69</v>
      </c>
      <c r="N244">
        <v>2021</v>
      </c>
    </row>
    <row r="245" spans="1:14" x14ac:dyDescent="0.25">
      <c r="A245">
        <v>244</v>
      </c>
      <c r="B245">
        <v>44241</v>
      </c>
      <c r="C245" t="s">
        <v>65</v>
      </c>
      <c r="D245" t="s">
        <v>14</v>
      </c>
      <c r="E245" t="s">
        <v>15</v>
      </c>
      <c r="F245" t="s">
        <v>48</v>
      </c>
      <c r="G245">
        <v>0</v>
      </c>
      <c r="H245" t="s">
        <v>57</v>
      </c>
      <c r="I245" t="s">
        <v>53</v>
      </c>
      <c r="J245" t="s">
        <v>46</v>
      </c>
      <c r="K245" t="s">
        <v>20</v>
      </c>
      <c r="L245">
        <v>4247</v>
      </c>
      <c r="M245" t="s">
        <v>69</v>
      </c>
      <c r="N245">
        <v>2021</v>
      </c>
    </row>
    <row r="246" spans="1:14" x14ac:dyDescent="0.25">
      <c r="A246">
        <v>245</v>
      </c>
      <c r="B246">
        <v>44242</v>
      </c>
      <c r="C246" t="s">
        <v>44</v>
      </c>
      <c r="D246" t="s">
        <v>14</v>
      </c>
      <c r="E246" t="s">
        <v>34</v>
      </c>
      <c r="F246" t="s">
        <v>48</v>
      </c>
      <c r="G246">
        <v>0</v>
      </c>
      <c r="H246" t="s">
        <v>60</v>
      </c>
      <c r="I246" t="s">
        <v>18</v>
      </c>
      <c r="J246" t="s">
        <v>46</v>
      </c>
      <c r="K246" t="s">
        <v>27</v>
      </c>
      <c r="L246">
        <v>0</v>
      </c>
      <c r="M246" t="s">
        <v>69</v>
      </c>
      <c r="N246">
        <v>2021</v>
      </c>
    </row>
    <row r="247" spans="1:14" x14ac:dyDescent="0.25">
      <c r="A247">
        <v>246</v>
      </c>
      <c r="B247">
        <v>44245</v>
      </c>
      <c r="C247" t="s">
        <v>65</v>
      </c>
      <c r="D247" t="s">
        <v>14</v>
      </c>
      <c r="E247" t="s">
        <v>15</v>
      </c>
      <c r="F247" t="s">
        <v>48</v>
      </c>
      <c r="G247">
        <v>0</v>
      </c>
      <c r="H247" t="s">
        <v>60</v>
      </c>
      <c r="I247" t="s">
        <v>18</v>
      </c>
      <c r="J247" t="s">
        <v>46</v>
      </c>
      <c r="K247" t="s">
        <v>59</v>
      </c>
      <c r="L247">
        <v>0</v>
      </c>
      <c r="M247" t="s">
        <v>69</v>
      </c>
      <c r="N247">
        <v>2021</v>
      </c>
    </row>
    <row r="248" spans="1:14" x14ac:dyDescent="0.25">
      <c r="A248">
        <v>247</v>
      </c>
      <c r="B248">
        <v>44245</v>
      </c>
      <c r="C248" t="s">
        <v>41</v>
      </c>
      <c r="D248" t="s">
        <v>33</v>
      </c>
      <c r="E248" t="s">
        <v>47</v>
      </c>
      <c r="F248" t="s">
        <v>63</v>
      </c>
      <c r="G248">
        <v>0</v>
      </c>
      <c r="H248" t="s">
        <v>49</v>
      </c>
      <c r="I248" t="s">
        <v>18</v>
      </c>
      <c r="J248" t="s">
        <v>46</v>
      </c>
      <c r="K248" t="s">
        <v>52</v>
      </c>
      <c r="L248">
        <v>0</v>
      </c>
      <c r="M248" t="s">
        <v>69</v>
      </c>
      <c r="N248">
        <v>2021</v>
      </c>
    </row>
    <row r="249" spans="1:14" x14ac:dyDescent="0.25">
      <c r="A249">
        <v>248</v>
      </c>
      <c r="B249">
        <v>44246</v>
      </c>
      <c r="C249" t="s">
        <v>13</v>
      </c>
      <c r="D249" t="s">
        <v>14</v>
      </c>
      <c r="E249" t="s">
        <v>15</v>
      </c>
      <c r="F249" t="s">
        <v>38</v>
      </c>
      <c r="G249">
        <v>0</v>
      </c>
      <c r="H249" t="s">
        <v>45</v>
      </c>
      <c r="I249" t="s">
        <v>39</v>
      </c>
      <c r="J249" t="s">
        <v>46</v>
      </c>
      <c r="K249" t="s">
        <v>27</v>
      </c>
      <c r="L249">
        <v>189</v>
      </c>
      <c r="M249" t="s">
        <v>69</v>
      </c>
      <c r="N249">
        <v>2021</v>
      </c>
    </row>
    <row r="250" spans="1:14" x14ac:dyDescent="0.25">
      <c r="A250">
        <v>249</v>
      </c>
      <c r="B250">
        <v>44248</v>
      </c>
      <c r="C250" t="s">
        <v>13</v>
      </c>
      <c r="D250" t="s">
        <v>14</v>
      </c>
      <c r="E250" t="s">
        <v>15</v>
      </c>
      <c r="F250" t="s">
        <v>23</v>
      </c>
      <c r="G250">
        <v>0</v>
      </c>
      <c r="H250" t="s">
        <v>55</v>
      </c>
      <c r="I250" t="s">
        <v>18</v>
      </c>
      <c r="J250" t="s">
        <v>46</v>
      </c>
      <c r="K250" t="s">
        <v>54</v>
      </c>
      <c r="L250">
        <v>0</v>
      </c>
      <c r="M250" t="s">
        <v>69</v>
      </c>
      <c r="N250">
        <v>2021</v>
      </c>
    </row>
    <row r="251" spans="1:14" x14ac:dyDescent="0.25">
      <c r="A251">
        <v>250</v>
      </c>
      <c r="B251">
        <v>44251</v>
      </c>
      <c r="C251" t="s">
        <v>65</v>
      </c>
      <c r="D251" t="s">
        <v>14</v>
      </c>
      <c r="E251" t="s">
        <v>22</v>
      </c>
      <c r="F251" t="s">
        <v>36</v>
      </c>
      <c r="G251">
        <v>0</v>
      </c>
      <c r="H251" t="s">
        <v>37</v>
      </c>
      <c r="I251" t="s">
        <v>18</v>
      </c>
      <c r="J251" t="s">
        <v>19</v>
      </c>
      <c r="K251" t="s">
        <v>43</v>
      </c>
      <c r="L251">
        <v>0</v>
      </c>
      <c r="M251" t="s">
        <v>69</v>
      </c>
      <c r="N251">
        <v>2021</v>
      </c>
    </row>
    <row r="252" spans="1:14" x14ac:dyDescent="0.25">
      <c r="A252">
        <v>251</v>
      </c>
      <c r="B252">
        <v>44253</v>
      </c>
      <c r="C252" t="s">
        <v>51</v>
      </c>
      <c r="D252" t="s">
        <v>14</v>
      </c>
      <c r="E252" t="s">
        <v>34</v>
      </c>
      <c r="F252" t="s">
        <v>63</v>
      </c>
      <c r="G252">
        <v>0</v>
      </c>
      <c r="H252" t="s">
        <v>57</v>
      </c>
      <c r="I252" t="s">
        <v>53</v>
      </c>
      <c r="J252" t="s">
        <v>26</v>
      </c>
      <c r="K252" t="s">
        <v>40</v>
      </c>
      <c r="L252">
        <v>2801</v>
      </c>
      <c r="M252" t="s">
        <v>69</v>
      </c>
      <c r="N252">
        <v>2021</v>
      </c>
    </row>
    <row r="253" spans="1:14" x14ac:dyDescent="0.25">
      <c r="A253">
        <v>252</v>
      </c>
      <c r="B253">
        <v>44255</v>
      </c>
      <c r="C253" t="s">
        <v>56</v>
      </c>
      <c r="D253" t="s">
        <v>14</v>
      </c>
      <c r="E253" t="s">
        <v>34</v>
      </c>
      <c r="F253" t="s">
        <v>63</v>
      </c>
      <c r="G253">
        <v>0</v>
      </c>
      <c r="H253" t="s">
        <v>17</v>
      </c>
      <c r="I253" t="s">
        <v>18</v>
      </c>
      <c r="J253" t="s">
        <v>19</v>
      </c>
      <c r="K253" t="s">
        <v>43</v>
      </c>
      <c r="L253">
        <v>0</v>
      </c>
      <c r="M253" t="s">
        <v>69</v>
      </c>
      <c r="N253">
        <v>2021</v>
      </c>
    </row>
    <row r="254" spans="1:14" x14ac:dyDescent="0.25">
      <c r="A254">
        <v>253</v>
      </c>
      <c r="B254">
        <v>44256</v>
      </c>
      <c r="C254" t="s">
        <v>51</v>
      </c>
      <c r="D254" t="s">
        <v>14</v>
      </c>
      <c r="E254" t="s">
        <v>22</v>
      </c>
      <c r="F254" t="s">
        <v>36</v>
      </c>
      <c r="G254">
        <v>0</v>
      </c>
      <c r="H254" t="s">
        <v>60</v>
      </c>
      <c r="I254" t="s">
        <v>18</v>
      </c>
      <c r="J254" t="s">
        <v>26</v>
      </c>
      <c r="K254" t="s">
        <v>43</v>
      </c>
      <c r="L254">
        <v>0</v>
      </c>
      <c r="M254" t="s">
        <v>70</v>
      </c>
      <c r="N254">
        <v>2021</v>
      </c>
    </row>
    <row r="255" spans="1:14" x14ac:dyDescent="0.25">
      <c r="A255">
        <v>254</v>
      </c>
      <c r="B255">
        <v>44257</v>
      </c>
      <c r="C255" t="s">
        <v>64</v>
      </c>
      <c r="D255" t="s">
        <v>14</v>
      </c>
      <c r="E255" t="s">
        <v>47</v>
      </c>
      <c r="F255" t="s">
        <v>62</v>
      </c>
      <c r="G255">
        <v>0</v>
      </c>
      <c r="H255" t="s">
        <v>55</v>
      </c>
      <c r="I255" t="s">
        <v>18</v>
      </c>
      <c r="J255" t="s">
        <v>19</v>
      </c>
      <c r="K255" t="s">
        <v>54</v>
      </c>
      <c r="L255">
        <v>0</v>
      </c>
      <c r="M255" t="s">
        <v>70</v>
      </c>
      <c r="N255">
        <v>2021</v>
      </c>
    </row>
    <row r="256" spans="1:14" x14ac:dyDescent="0.25">
      <c r="A256">
        <v>255</v>
      </c>
      <c r="B256">
        <v>44259</v>
      </c>
      <c r="C256" t="s">
        <v>13</v>
      </c>
      <c r="D256" t="s">
        <v>14</v>
      </c>
      <c r="E256" t="s">
        <v>22</v>
      </c>
      <c r="F256" t="s">
        <v>63</v>
      </c>
      <c r="G256">
        <v>0</v>
      </c>
      <c r="H256" t="s">
        <v>49</v>
      </c>
      <c r="I256" t="s">
        <v>39</v>
      </c>
      <c r="J256" t="s">
        <v>19</v>
      </c>
      <c r="K256" t="s">
        <v>50</v>
      </c>
      <c r="L256">
        <v>382</v>
      </c>
      <c r="M256" t="s">
        <v>70</v>
      </c>
      <c r="N256">
        <v>2021</v>
      </c>
    </row>
    <row r="257" spans="1:14" x14ac:dyDescent="0.25">
      <c r="A257">
        <v>256</v>
      </c>
      <c r="B257">
        <v>44260</v>
      </c>
      <c r="C257" t="s">
        <v>56</v>
      </c>
      <c r="D257" t="s">
        <v>14</v>
      </c>
      <c r="E257" t="s">
        <v>47</v>
      </c>
      <c r="F257" t="s">
        <v>29</v>
      </c>
      <c r="G257">
        <v>1.5</v>
      </c>
      <c r="H257" t="s">
        <v>49</v>
      </c>
      <c r="I257" t="s">
        <v>25</v>
      </c>
      <c r="J257" t="s">
        <v>19</v>
      </c>
      <c r="K257" t="s">
        <v>40</v>
      </c>
      <c r="L257">
        <v>1177</v>
      </c>
      <c r="M257" t="s">
        <v>70</v>
      </c>
      <c r="N257">
        <v>2021</v>
      </c>
    </row>
    <row r="258" spans="1:14" x14ac:dyDescent="0.25">
      <c r="A258">
        <v>257</v>
      </c>
      <c r="B258">
        <v>44260</v>
      </c>
      <c r="C258" t="s">
        <v>51</v>
      </c>
      <c r="D258" t="s">
        <v>14</v>
      </c>
      <c r="E258" t="s">
        <v>34</v>
      </c>
      <c r="F258" t="s">
        <v>62</v>
      </c>
      <c r="G258">
        <v>0</v>
      </c>
      <c r="H258" t="s">
        <v>17</v>
      </c>
      <c r="I258" t="s">
        <v>39</v>
      </c>
      <c r="J258" t="s">
        <v>46</v>
      </c>
      <c r="K258" t="s">
        <v>54</v>
      </c>
      <c r="L258">
        <v>308</v>
      </c>
      <c r="M258" t="s">
        <v>70</v>
      </c>
      <c r="N258">
        <v>2021</v>
      </c>
    </row>
    <row r="259" spans="1:14" x14ac:dyDescent="0.25">
      <c r="A259">
        <v>258</v>
      </c>
      <c r="B259">
        <v>44266</v>
      </c>
      <c r="C259" t="s">
        <v>32</v>
      </c>
      <c r="D259" t="s">
        <v>33</v>
      </c>
      <c r="E259" t="s">
        <v>15</v>
      </c>
      <c r="F259" t="s">
        <v>62</v>
      </c>
      <c r="G259">
        <v>0</v>
      </c>
      <c r="H259" t="s">
        <v>45</v>
      </c>
      <c r="I259" t="s">
        <v>39</v>
      </c>
      <c r="J259" t="s">
        <v>46</v>
      </c>
      <c r="K259" t="s">
        <v>20</v>
      </c>
      <c r="L259">
        <v>84</v>
      </c>
      <c r="M259" t="s">
        <v>70</v>
      </c>
      <c r="N259">
        <v>2021</v>
      </c>
    </row>
    <row r="260" spans="1:14" x14ac:dyDescent="0.25">
      <c r="A260">
        <v>259</v>
      </c>
      <c r="B260">
        <v>44267</v>
      </c>
      <c r="C260" t="s">
        <v>56</v>
      </c>
      <c r="D260" t="s">
        <v>14</v>
      </c>
      <c r="E260" t="s">
        <v>15</v>
      </c>
      <c r="F260" t="s">
        <v>63</v>
      </c>
      <c r="G260">
        <v>0</v>
      </c>
      <c r="H260" t="s">
        <v>55</v>
      </c>
      <c r="I260" t="s">
        <v>53</v>
      </c>
      <c r="J260" t="s">
        <v>46</v>
      </c>
      <c r="K260" t="s">
        <v>50</v>
      </c>
      <c r="L260">
        <v>501</v>
      </c>
      <c r="M260" t="s">
        <v>70</v>
      </c>
      <c r="N260">
        <v>2021</v>
      </c>
    </row>
    <row r="261" spans="1:14" x14ac:dyDescent="0.25">
      <c r="A261">
        <v>260</v>
      </c>
      <c r="B261">
        <v>44269</v>
      </c>
      <c r="C261" t="s">
        <v>21</v>
      </c>
      <c r="D261" t="s">
        <v>14</v>
      </c>
      <c r="E261" t="s">
        <v>34</v>
      </c>
      <c r="F261" t="s">
        <v>63</v>
      </c>
      <c r="G261">
        <v>0</v>
      </c>
      <c r="H261" t="s">
        <v>60</v>
      </c>
      <c r="I261" t="s">
        <v>53</v>
      </c>
      <c r="J261" t="s">
        <v>26</v>
      </c>
      <c r="K261" t="s">
        <v>43</v>
      </c>
      <c r="L261">
        <v>4587</v>
      </c>
      <c r="M261" t="s">
        <v>70</v>
      </c>
      <c r="N261">
        <v>2021</v>
      </c>
    </row>
    <row r="262" spans="1:14" x14ac:dyDescent="0.25">
      <c r="A262">
        <v>261</v>
      </c>
      <c r="B262">
        <v>44269</v>
      </c>
      <c r="C262" t="s">
        <v>41</v>
      </c>
      <c r="D262" t="s">
        <v>14</v>
      </c>
      <c r="E262" t="s">
        <v>34</v>
      </c>
      <c r="F262" t="s">
        <v>48</v>
      </c>
      <c r="G262">
        <v>0</v>
      </c>
      <c r="H262" t="s">
        <v>30</v>
      </c>
      <c r="I262" t="s">
        <v>18</v>
      </c>
      <c r="J262" t="s">
        <v>19</v>
      </c>
      <c r="K262" t="s">
        <v>20</v>
      </c>
      <c r="L262">
        <v>0</v>
      </c>
      <c r="M262" t="s">
        <v>70</v>
      </c>
      <c r="N262">
        <v>2021</v>
      </c>
    </row>
    <row r="263" spans="1:14" x14ac:dyDescent="0.25">
      <c r="A263">
        <v>262</v>
      </c>
      <c r="B263">
        <v>44270</v>
      </c>
      <c r="C263" t="s">
        <v>51</v>
      </c>
      <c r="D263" t="s">
        <v>14</v>
      </c>
      <c r="E263" t="s">
        <v>34</v>
      </c>
      <c r="F263" t="s">
        <v>23</v>
      </c>
      <c r="G263">
        <v>0</v>
      </c>
      <c r="H263" t="s">
        <v>60</v>
      </c>
      <c r="I263" t="s">
        <v>53</v>
      </c>
      <c r="J263" t="s">
        <v>46</v>
      </c>
      <c r="K263" t="s">
        <v>40</v>
      </c>
      <c r="L263">
        <v>3871</v>
      </c>
      <c r="M263" t="s">
        <v>70</v>
      </c>
      <c r="N263">
        <v>2021</v>
      </c>
    </row>
    <row r="264" spans="1:14" x14ac:dyDescent="0.25">
      <c r="A264">
        <v>263</v>
      </c>
      <c r="B264">
        <v>44272</v>
      </c>
      <c r="C264" t="s">
        <v>64</v>
      </c>
      <c r="D264" t="s">
        <v>14</v>
      </c>
      <c r="E264" t="s">
        <v>47</v>
      </c>
      <c r="F264" t="s">
        <v>16</v>
      </c>
      <c r="G264">
        <v>1.5</v>
      </c>
      <c r="H264" t="s">
        <v>37</v>
      </c>
      <c r="I264" t="s">
        <v>25</v>
      </c>
      <c r="J264" t="s">
        <v>19</v>
      </c>
      <c r="K264" t="s">
        <v>50</v>
      </c>
      <c r="L264">
        <v>4781</v>
      </c>
      <c r="M264" t="s">
        <v>70</v>
      </c>
      <c r="N264">
        <v>2021</v>
      </c>
    </row>
    <row r="265" spans="1:14" x14ac:dyDescent="0.25">
      <c r="A265">
        <v>264</v>
      </c>
      <c r="B265">
        <v>44272</v>
      </c>
      <c r="C265" t="s">
        <v>44</v>
      </c>
      <c r="D265" t="s">
        <v>33</v>
      </c>
      <c r="E265" t="s">
        <v>34</v>
      </c>
      <c r="F265" t="s">
        <v>16</v>
      </c>
      <c r="G265">
        <v>5</v>
      </c>
      <c r="H265" t="s">
        <v>17</v>
      </c>
      <c r="I265" t="s">
        <v>25</v>
      </c>
      <c r="J265" t="s">
        <v>26</v>
      </c>
      <c r="K265" t="s">
        <v>50</v>
      </c>
      <c r="L265">
        <v>4373</v>
      </c>
      <c r="M265" t="s">
        <v>70</v>
      </c>
      <c r="N265">
        <v>2021</v>
      </c>
    </row>
    <row r="266" spans="1:14" x14ac:dyDescent="0.25">
      <c r="A266">
        <v>265</v>
      </c>
      <c r="B266">
        <v>44273</v>
      </c>
      <c r="C266" t="s">
        <v>61</v>
      </c>
      <c r="D266" t="s">
        <v>14</v>
      </c>
      <c r="E266" t="s">
        <v>15</v>
      </c>
      <c r="F266" t="s">
        <v>63</v>
      </c>
      <c r="G266">
        <v>0.5</v>
      </c>
      <c r="H266" t="s">
        <v>57</v>
      </c>
      <c r="I266" t="s">
        <v>25</v>
      </c>
      <c r="J266" t="s">
        <v>19</v>
      </c>
      <c r="K266" t="s">
        <v>52</v>
      </c>
      <c r="L266">
        <v>2854</v>
      </c>
      <c r="M266" t="s">
        <v>70</v>
      </c>
      <c r="N266">
        <v>2021</v>
      </c>
    </row>
    <row r="267" spans="1:14" x14ac:dyDescent="0.25">
      <c r="A267">
        <v>266</v>
      </c>
      <c r="B267">
        <v>44274</v>
      </c>
      <c r="C267" t="s">
        <v>44</v>
      </c>
      <c r="D267" t="s">
        <v>33</v>
      </c>
      <c r="E267" t="s">
        <v>34</v>
      </c>
      <c r="F267" t="s">
        <v>62</v>
      </c>
      <c r="G267">
        <v>0</v>
      </c>
      <c r="H267" t="s">
        <v>24</v>
      </c>
      <c r="I267" t="s">
        <v>39</v>
      </c>
      <c r="J267" t="s">
        <v>19</v>
      </c>
      <c r="K267" t="s">
        <v>59</v>
      </c>
      <c r="L267">
        <v>217</v>
      </c>
      <c r="M267" t="s">
        <v>70</v>
      </c>
      <c r="N267">
        <v>2021</v>
      </c>
    </row>
    <row r="268" spans="1:14" x14ac:dyDescent="0.25">
      <c r="A268">
        <v>267</v>
      </c>
      <c r="B268">
        <v>44277</v>
      </c>
      <c r="C268" t="s">
        <v>32</v>
      </c>
      <c r="D268" t="s">
        <v>14</v>
      </c>
      <c r="E268" t="s">
        <v>15</v>
      </c>
      <c r="F268" t="s">
        <v>16</v>
      </c>
      <c r="G268">
        <v>0</v>
      </c>
      <c r="H268" t="s">
        <v>55</v>
      </c>
      <c r="I268" t="s">
        <v>53</v>
      </c>
      <c r="J268" t="s">
        <v>46</v>
      </c>
      <c r="K268" t="s">
        <v>59</v>
      </c>
      <c r="L268">
        <v>804</v>
      </c>
      <c r="M268" t="s">
        <v>70</v>
      </c>
      <c r="N268">
        <v>2021</v>
      </c>
    </row>
    <row r="269" spans="1:14" x14ac:dyDescent="0.25">
      <c r="A269">
        <v>268</v>
      </c>
      <c r="B269">
        <v>44278</v>
      </c>
      <c r="C269" t="s">
        <v>44</v>
      </c>
      <c r="D269" t="s">
        <v>14</v>
      </c>
      <c r="E269" t="s">
        <v>47</v>
      </c>
      <c r="F269" t="s">
        <v>36</v>
      </c>
      <c r="G269">
        <v>0</v>
      </c>
      <c r="H269" t="s">
        <v>60</v>
      </c>
      <c r="I269" t="s">
        <v>53</v>
      </c>
      <c r="J269" t="s">
        <v>19</v>
      </c>
      <c r="K269" t="s">
        <v>54</v>
      </c>
      <c r="L269">
        <v>668</v>
      </c>
      <c r="M269" t="s">
        <v>70</v>
      </c>
      <c r="N269">
        <v>2021</v>
      </c>
    </row>
    <row r="270" spans="1:14" x14ac:dyDescent="0.25">
      <c r="A270">
        <v>269</v>
      </c>
      <c r="B270">
        <v>44286</v>
      </c>
      <c r="C270" t="s">
        <v>41</v>
      </c>
      <c r="D270" t="s">
        <v>14</v>
      </c>
      <c r="E270" t="s">
        <v>34</v>
      </c>
      <c r="F270" t="s">
        <v>35</v>
      </c>
      <c r="G270">
        <v>0</v>
      </c>
      <c r="H270" t="s">
        <v>55</v>
      </c>
      <c r="I270" t="s">
        <v>18</v>
      </c>
      <c r="J270" t="s">
        <v>26</v>
      </c>
      <c r="K270" t="s">
        <v>31</v>
      </c>
      <c r="L270">
        <v>0</v>
      </c>
      <c r="M270" t="s">
        <v>70</v>
      </c>
      <c r="N270">
        <v>2021</v>
      </c>
    </row>
    <row r="271" spans="1:14" x14ac:dyDescent="0.25">
      <c r="A271">
        <v>270</v>
      </c>
      <c r="B271">
        <v>44286</v>
      </c>
      <c r="C271" t="s">
        <v>28</v>
      </c>
      <c r="D271" t="s">
        <v>33</v>
      </c>
      <c r="E271" t="s">
        <v>34</v>
      </c>
      <c r="F271" t="s">
        <v>23</v>
      </c>
      <c r="G271">
        <v>5</v>
      </c>
      <c r="H271" t="s">
        <v>37</v>
      </c>
      <c r="I271" t="s">
        <v>25</v>
      </c>
      <c r="J271" t="s">
        <v>46</v>
      </c>
      <c r="K271" t="s">
        <v>59</v>
      </c>
      <c r="L271">
        <v>1993</v>
      </c>
      <c r="M271" t="s">
        <v>70</v>
      </c>
      <c r="N271">
        <v>2021</v>
      </c>
    </row>
    <row r="272" spans="1:14" x14ac:dyDescent="0.25">
      <c r="A272">
        <v>271</v>
      </c>
      <c r="B272">
        <v>44287</v>
      </c>
      <c r="C272" t="s">
        <v>56</v>
      </c>
      <c r="D272" t="s">
        <v>14</v>
      </c>
      <c r="E272" t="s">
        <v>34</v>
      </c>
      <c r="F272" t="s">
        <v>23</v>
      </c>
      <c r="G272">
        <v>0</v>
      </c>
      <c r="H272" t="s">
        <v>24</v>
      </c>
      <c r="I272" t="s">
        <v>53</v>
      </c>
      <c r="J272" t="s">
        <v>46</v>
      </c>
      <c r="K272" t="s">
        <v>27</v>
      </c>
      <c r="L272">
        <v>4836</v>
      </c>
      <c r="M272" t="s">
        <v>71</v>
      </c>
      <c r="N272">
        <v>2021</v>
      </c>
    </row>
    <row r="273" spans="1:14" x14ac:dyDescent="0.25">
      <c r="A273">
        <v>272</v>
      </c>
      <c r="B273">
        <v>44287</v>
      </c>
      <c r="C273" t="s">
        <v>28</v>
      </c>
      <c r="D273" t="s">
        <v>14</v>
      </c>
      <c r="E273" t="s">
        <v>42</v>
      </c>
      <c r="F273" t="s">
        <v>38</v>
      </c>
      <c r="G273">
        <v>0</v>
      </c>
      <c r="H273" t="s">
        <v>60</v>
      </c>
      <c r="I273" t="s">
        <v>18</v>
      </c>
      <c r="J273" t="s">
        <v>26</v>
      </c>
      <c r="K273" t="s">
        <v>52</v>
      </c>
      <c r="L273">
        <v>0</v>
      </c>
      <c r="M273" t="s">
        <v>71</v>
      </c>
      <c r="N273">
        <v>2021</v>
      </c>
    </row>
    <row r="274" spans="1:14" x14ac:dyDescent="0.25">
      <c r="A274">
        <v>273</v>
      </c>
      <c r="B274">
        <v>44288</v>
      </c>
      <c r="C274" t="s">
        <v>56</v>
      </c>
      <c r="D274" t="s">
        <v>33</v>
      </c>
      <c r="E274" t="s">
        <v>15</v>
      </c>
      <c r="F274" t="s">
        <v>63</v>
      </c>
      <c r="G274">
        <v>0</v>
      </c>
      <c r="H274" t="s">
        <v>37</v>
      </c>
      <c r="I274" t="s">
        <v>39</v>
      </c>
      <c r="J274" t="s">
        <v>46</v>
      </c>
      <c r="K274" t="s">
        <v>31</v>
      </c>
      <c r="L274">
        <v>342</v>
      </c>
      <c r="M274" t="s">
        <v>71</v>
      </c>
      <c r="N274">
        <v>2021</v>
      </c>
    </row>
    <row r="275" spans="1:14" x14ac:dyDescent="0.25">
      <c r="A275">
        <v>274</v>
      </c>
      <c r="B275">
        <v>44292</v>
      </c>
      <c r="C275" t="s">
        <v>21</v>
      </c>
      <c r="D275" t="s">
        <v>14</v>
      </c>
      <c r="E275" t="s">
        <v>15</v>
      </c>
      <c r="F275" t="s">
        <v>62</v>
      </c>
      <c r="G275">
        <v>5</v>
      </c>
      <c r="H275" t="s">
        <v>60</v>
      </c>
      <c r="I275" t="s">
        <v>25</v>
      </c>
      <c r="J275" t="s">
        <v>26</v>
      </c>
      <c r="K275" t="s">
        <v>27</v>
      </c>
      <c r="L275">
        <v>2468</v>
      </c>
      <c r="M275" t="s">
        <v>71</v>
      </c>
      <c r="N275">
        <v>2021</v>
      </c>
    </row>
    <row r="276" spans="1:14" x14ac:dyDescent="0.25">
      <c r="A276">
        <v>275</v>
      </c>
      <c r="B276">
        <v>44294</v>
      </c>
      <c r="C276" t="s">
        <v>51</v>
      </c>
      <c r="D276" t="s">
        <v>14</v>
      </c>
      <c r="E276" t="s">
        <v>47</v>
      </c>
      <c r="F276" t="s">
        <v>29</v>
      </c>
      <c r="G276">
        <v>0</v>
      </c>
      <c r="H276" t="s">
        <v>17</v>
      </c>
      <c r="I276" t="s">
        <v>53</v>
      </c>
      <c r="J276" t="s">
        <v>46</v>
      </c>
      <c r="K276" t="s">
        <v>27</v>
      </c>
      <c r="L276">
        <v>2990</v>
      </c>
      <c r="M276" t="s">
        <v>71</v>
      </c>
      <c r="N276">
        <v>2021</v>
      </c>
    </row>
    <row r="277" spans="1:14" x14ac:dyDescent="0.25">
      <c r="A277">
        <v>276</v>
      </c>
      <c r="B277">
        <v>44295</v>
      </c>
      <c r="C277" t="s">
        <v>21</v>
      </c>
      <c r="D277" t="s">
        <v>14</v>
      </c>
      <c r="E277" t="s">
        <v>15</v>
      </c>
      <c r="F277" t="s">
        <v>36</v>
      </c>
      <c r="G277">
        <v>0</v>
      </c>
      <c r="H277" t="s">
        <v>55</v>
      </c>
      <c r="I277" t="s">
        <v>53</v>
      </c>
      <c r="J277" t="s">
        <v>26</v>
      </c>
      <c r="K277" t="s">
        <v>40</v>
      </c>
      <c r="L277">
        <v>4570</v>
      </c>
      <c r="M277" t="s">
        <v>71</v>
      </c>
      <c r="N277">
        <v>2021</v>
      </c>
    </row>
    <row r="278" spans="1:14" x14ac:dyDescent="0.25">
      <c r="A278">
        <v>277</v>
      </c>
      <c r="B278">
        <v>44297</v>
      </c>
      <c r="C278" t="s">
        <v>51</v>
      </c>
      <c r="D278" t="s">
        <v>14</v>
      </c>
      <c r="E278" t="s">
        <v>34</v>
      </c>
      <c r="F278" t="s">
        <v>62</v>
      </c>
      <c r="G278">
        <v>0</v>
      </c>
      <c r="H278" t="s">
        <v>60</v>
      </c>
      <c r="I278" t="s">
        <v>53</v>
      </c>
      <c r="J278" t="s">
        <v>46</v>
      </c>
      <c r="K278" t="s">
        <v>54</v>
      </c>
      <c r="L278">
        <v>2022</v>
      </c>
      <c r="M278" t="s">
        <v>71</v>
      </c>
      <c r="N278">
        <v>2021</v>
      </c>
    </row>
    <row r="279" spans="1:14" x14ac:dyDescent="0.25">
      <c r="A279">
        <v>278</v>
      </c>
      <c r="B279">
        <v>44299</v>
      </c>
      <c r="C279" t="s">
        <v>61</v>
      </c>
      <c r="D279" t="s">
        <v>14</v>
      </c>
      <c r="E279" t="s">
        <v>47</v>
      </c>
      <c r="F279" t="s">
        <v>23</v>
      </c>
      <c r="G279">
        <v>4</v>
      </c>
      <c r="H279" t="s">
        <v>30</v>
      </c>
      <c r="I279" t="s">
        <v>25</v>
      </c>
      <c r="J279" t="s">
        <v>19</v>
      </c>
      <c r="K279" t="s">
        <v>59</v>
      </c>
      <c r="L279">
        <v>2705</v>
      </c>
      <c r="M279" t="s">
        <v>71</v>
      </c>
      <c r="N279">
        <v>2021</v>
      </c>
    </row>
    <row r="280" spans="1:14" x14ac:dyDescent="0.25">
      <c r="A280">
        <v>279</v>
      </c>
      <c r="B280">
        <v>44300</v>
      </c>
      <c r="C280" t="s">
        <v>65</v>
      </c>
      <c r="D280" t="s">
        <v>14</v>
      </c>
      <c r="E280" t="s">
        <v>22</v>
      </c>
      <c r="F280" t="s">
        <v>23</v>
      </c>
      <c r="G280">
        <v>2.5</v>
      </c>
      <c r="H280" t="s">
        <v>60</v>
      </c>
      <c r="I280" t="s">
        <v>25</v>
      </c>
      <c r="J280" t="s">
        <v>19</v>
      </c>
      <c r="K280" t="s">
        <v>40</v>
      </c>
      <c r="L280">
        <v>819</v>
      </c>
      <c r="M280" t="s">
        <v>71</v>
      </c>
      <c r="N280">
        <v>2021</v>
      </c>
    </row>
    <row r="281" spans="1:14" x14ac:dyDescent="0.25">
      <c r="A281">
        <v>280</v>
      </c>
      <c r="B281">
        <v>44301</v>
      </c>
      <c r="C281" t="s">
        <v>28</v>
      </c>
      <c r="D281" t="s">
        <v>33</v>
      </c>
      <c r="E281" t="s">
        <v>47</v>
      </c>
      <c r="F281" t="s">
        <v>16</v>
      </c>
      <c r="G281">
        <v>0</v>
      </c>
      <c r="H281" t="s">
        <v>60</v>
      </c>
      <c r="I281" t="s">
        <v>18</v>
      </c>
      <c r="J281" t="s">
        <v>46</v>
      </c>
      <c r="K281" t="s">
        <v>31</v>
      </c>
      <c r="L281">
        <v>0</v>
      </c>
      <c r="M281" t="s">
        <v>71</v>
      </c>
      <c r="N281">
        <v>2021</v>
      </c>
    </row>
    <row r="282" spans="1:14" x14ac:dyDescent="0.25">
      <c r="A282">
        <v>281</v>
      </c>
      <c r="B282">
        <v>44302</v>
      </c>
      <c r="C282" t="s">
        <v>64</v>
      </c>
      <c r="D282" t="s">
        <v>14</v>
      </c>
      <c r="E282" t="s">
        <v>47</v>
      </c>
      <c r="F282" t="s">
        <v>29</v>
      </c>
      <c r="G282">
        <v>0</v>
      </c>
      <c r="H282" t="s">
        <v>45</v>
      </c>
      <c r="I282" t="s">
        <v>39</v>
      </c>
      <c r="J282" t="s">
        <v>46</v>
      </c>
      <c r="K282" t="s">
        <v>43</v>
      </c>
      <c r="L282">
        <v>37</v>
      </c>
      <c r="M282" t="s">
        <v>71</v>
      </c>
      <c r="N282">
        <v>2021</v>
      </c>
    </row>
    <row r="283" spans="1:14" x14ac:dyDescent="0.25">
      <c r="A283">
        <v>282</v>
      </c>
      <c r="B283">
        <v>44303</v>
      </c>
      <c r="C283" t="s">
        <v>32</v>
      </c>
      <c r="D283" t="s">
        <v>14</v>
      </c>
      <c r="E283" t="s">
        <v>15</v>
      </c>
      <c r="F283" t="s">
        <v>36</v>
      </c>
      <c r="G283">
        <v>0</v>
      </c>
      <c r="H283" t="s">
        <v>24</v>
      </c>
      <c r="I283" t="s">
        <v>53</v>
      </c>
      <c r="J283" t="s">
        <v>46</v>
      </c>
      <c r="K283" t="s">
        <v>31</v>
      </c>
      <c r="L283">
        <v>4741</v>
      </c>
      <c r="M283" t="s">
        <v>71</v>
      </c>
      <c r="N283">
        <v>2021</v>
      </c>
    </row>
    <row r="284" spans="1:14" x14ac:dyDescent="0.25">
      <c r="A284">
        <v>283</v>
      </c>
      <c r="B284">
        <v>44306</v>
      </c>
      <c r="C284" t="s">
        <v>58</v>
      </c>
      <c r="D284" t="s">
        <v>14</v>
      </c>
      <c r="E284" t="s">
        <v>34</v>
      </c>
      <c r="F284" t="s">
        <v>29</v>
      </c>
      <c r="G284">
        <v>0</v>
      </c>
      <c r="H284" t="s">
        <v>55</v>
      </c>
      <c r="I284" t="s">
        <v>53</v>
      </c>
      <c r="J284" t="s">
        <v>26</v>
      </c>
      <c r="K284" t="s">
        <v>43</v>
      </c>
      <c r="L284">
        <v>2063</v>
      </c>
      <c r="M284" t="s">
        <v>71</v>
      </c>
      <c r="N284">
        <v>2021</v>
      </c>
    </row>
    <row r="285" spans="1:14" x14ac:dyDescent="0.25">
      <c r="A285">
        <v>284</v>
      </c>
      <c r="B285">
        <v>44306</v>
      </c>
      <c r="C285" t="s">
        <v>21</v>
      </c>
      <c r="D285" t="s">
        <v>14</v>
      </c>
      <c r="E285" t="s">
        <v>22</v>
      </c>
      <c r="F285" t="s">
        <v>38</v>
      </c>
      <c r="G285">
        <v>0</v>
      </c>
      <c r="H285" t="s">
        <v>17</v>
      </c>
      <c r="I285" t="s">
        <v>39</v>
      </c>
      <c r="J285" t="s">
        <v>26</v>
      </c>
      <c r="K285" t="s">
        <v>20</v>
      </c>
      <c r="L285">
        <v>359</v>
      </c>
      <c r="M285" t="s">
        <v>71</v>
      </c>
      <c r="N285">
        <v>2021</v>
      </c>
    </row>
    <row r="286" spans="1:14" x14ac:dyDescent="0.25">
      <c r="A286">
        <v>285</v>
      </c>
      <c r="B286">
        <v>44307</v>
      </c>
      <c r="C286" t="s">
        <v>13</v>
      </c>
      <c r="D286" t="s">
        <v>14</v>
      </c>
      <c r="E286" t="s">
        <v>47</v>
      </c>
      <c r="F286" t="s">
        <v>35</v>
      </c>
      <c r="G286">
        <v>5</v>
      </c>
      <c r="H286" t="s">
        <v>57</v>
      </c>
      <c r="I286" t="s">
        <v>25</v>
      </c>
      <c r="J286" t="s">
        <v>26</v>
      </c>
      <c r="K286" t="s">
        <v>59</v>
      </c>
      <c r="L286">
        <v>1119</v>
      </c>
      <c r="M286" t="s">
        <v>71</v>
      </c>
      <c r="N286">
        <v>2021</v>
      </c>
    </row>
    <row r="287" spans="1:14" x14ac:dyDescent="0.25">
      <c r="A287">
        <v>286</v>
      </c>
      <c r="B287">
        <v>44310</v>
      </c>
      <c r="C287" t="s">
        <v>58</v>
      </c>
      <c r="D287" t="s">
        <v>14</v>
      </c>
      <c r="E287" t="s">
        <v>47</v>
      </c>
      <c r="F287" t="s">
        <v>29</v>
      </c>
      <c r="G287">
        <v>3</v>
      </c>
      <c r="H287" t="s">
        <v>49</v>
      </c>
      <c r="I287" t="s">
        <v>25</v>
      </c>
      <c r="J287" t="s">
        <v>26</v>
      </c>
      <c r="K287" t="s">
        <v>43</v>
      </c>
      <c r="L287">
        <v>2851</v>
      </c>
      <c r="M287" t="s">
        <v>71</v>
      </c>
      <c r="N287">
        <v>2021</v>
      </c>
    </row>
    <row r="288" spans="1:14" x14ac:dyDescent="0.25">
      <c r="A288">
        <v>287</v>
      </c>
      <c r="B288">
        <v>44311</v>
      </c>
      <c r="C288" t="s">
        <v>51</v>
      </c>
      <c r="D288" t="s">
        <v>14</v>
      </c>
      <c r="E288" t="s">
        <v>47</v>
      </c>
      <c r="F288" t="s">
        <v>35</v>
      </c>
      <c r="G288">
        <v>0</v>
      </c>
      <c r="H288" t="s">
        <v>57</v>
      </c>
      <c r="I288" t="s">
        <v>18</v>
      </c>
      <c r="J288" t="s">
        <v>46</v>
      </c>
      <c r="K288" t="s">
        <v>43</v>
      </c>
      <c r="L288">
        <v>0</v>
      </c>
      <c r="M288" t="s">
        <v>71</v>
      </c>
      <c r="N288">
        <v>2021</v>
      </c>
    </row>
    <row r="289" spans="1:14" x14ac:dyDescent="0.25">
      <c r="A289">
        <v>288</v>
      </c>
      <c r="B289">
        <v>44317</v>
      </c>
      <c r="C289" t="s">
        <v>56</v>
      </c>
      <c r="D289" t="s">
        <v>14</v>
      </c>
      <c r="E289" t="s">
        <v>15</v>
      </c>
      <c r="F289" t="s">
        <v>16</v>
      </c>
      <c r="G289">
        <v>0</v>
      </c>
      <c r="H289" t="s">
        <v>55</v>
      </c>
      <c r="I289" t="s">
        <v>53</v>
      </c>
      <c r="J289" t="s">
        <v>19</v>
      </c>
      <c r="K289" t="s">
        <v>20</v>
      </c>
      <c r="L289">
        <v>1872</v>
      </c>
      <c r="M289" t="s">
        <v>72</v>
      </c>
      <c r="N289">
        <v>2021</v>
      </c>
    </row>
    <row r="290" spans="1:14" x14ac:dyDescent="0.25">
      <c r="A290">
        <v>289</v>
      </c>
      <c r="B290">
        <v>44320</v>
      </c>
      <c r="C290" t="s">
        <v>32</v>
      </c>
      <c r="D290" t="s">
        <v>14</v>
      </c>
      <c r="E290" t="s">
        <v>34</v>
      </c>
      <c r="F290" t="s">
        <v>48</v>
      </c>
      <c r="G290">
        <v>3</v>
      </c>
      <c r="H290" t="s">
        <v>24</v>
      </c>
      <c r="I290" t="s">
        <v>25</v>
      </c>
      <c r="J290" t="s">
        <v>26</v>
      </c>
      <c r="K290" t="s">
        <v>43</v>
      </c>
      <c r="L290">
        <v>4303</v>
      </c>
      <c r="M290" t="s">
        <v>72</v>
      </c>
      <c r="N290">
        <v>2021</v>
      </c>
    </row>
    <row r="291" spans="1:14" x14ac:dyDescent="0.25">
      <c r="A291">
        <v>290</v>
      </c>
      <c r="B291">
        <v>44322</v>
      </c>
      <c r="C291" t="s">
        <v>13</v>
      </c>
      <c r="D291" t="s">
        <v>14</v>
      </c>
      <c r="E291" t="s">
        <v>47</v>
      </c>
      <c r="F291" t="s">
        <v>16</v>
      </c>
      <c r="G291">
        <v>0</v>
      </c>
      <c r="H291" t="s">
        <v>17</v>
      </c>
      <c r="I291" t="s">
        <v>53</v>
      </c>
      <c r="J291" t="s">
        <v>19</v>
      </c>
      <c r="K291" t="s">
        <v>59</v>
      </c>
      <c r="L291">
        <v>1884</v>
      </c>
      <c r="M291" t="s">
        <v>72</v>
      </c>
      <c r="N291">
        <v>2021</v>
      </c>
    </row>
    <row r="292" spans="1:14" x14ac:dyDescent="0.25">
      <c r="A292">
        <v>291</v>
      </c>
      <c r="B292">
        <v>44323</v>
      </c>
      <c r="C292" t="s">
        <v>51</v>
      </c>
      <c r="D292" t="s">
        <v>14</v>
      </c>
      <c r="E292" t="s">
        <v>22</v>
      </c>
      <c r="F292" t="s">
        <v>29</v>
      </c>
      <c r="G292">
        <v>0.5</v>
      </c>
      <c r="H292" t="s">
        <v>30</v>
      </c>
      <c r="I292" t="s">
        <v>25</v>
      </c>
      <c r="J292" t="s">
        <v>26</v>
      </c>
      <c r="K292" t="s">
        <v>31</v>
      </c>
      <c r="L292">
        <v>1084</v>
      </c>
      <c r="M292" t="s">
        <v>72</v>
      </c>
      <c r="N292">
        <v>2021</v>
      </c>
    </row>
    <row r="293" spans="1:14" x14ac:dyDescent="0.25">
      <c r="A293">
        <v>292</v>
      </c>
      <c r="B293">
        <v>44324</v>
      </c>
      <c r="C293" t="s">
        <v>65</v>
      </c>
      <c r="D293" t="s">
        <v>14</v>
      </c>
      <c r="E293" t="s">
        <v>22</v>
      </c>
      <c r="F293" t="s">
        <v>35</v>
      </c>
      <c r="G293">
        <v>0</v>
      </c>
      <c r="H293" t="s">
        <v>37</v>
      </c>
      <c r="I293" t="s">
        <v>18</v>
      </c>
      <c r="J293" t="s">
        <v>26</v>
      </c>
      <c r="K293" t="s">
        <v>40</v>
      </c>
      <c r="L293">
        <v>0</v>
      </c>
      <c r="M293" t="s">
        <v>72</v>
      </c>
      <c r="N293">
        <v>2021</v>
      </c>
    </row>
    <row r="294" spans="1:14" x14ac:dyDescent="0.25">
      <c r="A294">
        <v>293</v>
      </c>
      <c r="B294">
        <v>44324</v>
      </c>
      <c r="C294" t="s">
        <v>58</v>
      </c>
      <c r="D294" t="s">
        <v>14</v>
      </c>
      <c r="E294" t="s">
        <v>34</v>
      </c>
      <c r="F294" t="s">
        <v>35</v>
      </c>
      <c r="G294">
        <v>0</v>
      </c>
      <c r="H294" t="s">
        <v>30</v>
      </c>
      <c r="I294" t="s">
        <v>39</v>
      </c>
      <c r="J294" t="s">
        <v>46</v>
      </c>
      <c r="K294" t="s">
        <v>50</v>
      </c>
      <c r="L294">
        <v>152</v>
      </c>
      <c r="M294" t="s">
        <v>72</v>
      </c>
      <c r="N294">
        <v>2021</v>
      </c>
    </row>
    <row r="295" spans="1:14" x14ac:dyDescent="0.25">
      <c r="A295">
        <v>294</v>
      </c>
      <c r="B295">
        <v>44326</v>
      </c>
      <c r="C295" t="s">
        <v>51</v>
      </c>
      <c r="D295" t="s">
        <v>14</v>
      </c>
      <c r="E295" t="s">
        <v>47</v>
      </c>
      <c r="F295" t="s">
        <v>29</v>
      </c>
      <c r="G295">
        <v>0</v>
      </c>
      <c r="H295" t="s">
        <v>57</v>
      </c>
      <c r="I295" t="s">
        <v>18</v>
      </c>
      <c r="J295" t="s">
        <v>19</v>
      </c>
      <c r="K295" t="s">
        <v>59</v>
      </c>
      <c r="L295">
        <v>0</v>
      </c>
      <c r="M295" t="s">
        <v>72</v>
      </c>
      <c r="N295">
        <v>2021</v>
      </c>
    </row>
    <row r="296" spans="1:14" x14ac:dyDescent="0.25">
      <c r="A296">
        <v>295</v>
      </c>
      <c r="B296">
        <v>44328</v>
      </c>
      <c r="C296" t="s">
        <v>13</v>
      </c>
      <c r="D296" t="s">
        <v>14</v>
      </c>
      <c r="E296" t="s">
        <v>42</v>
      </c>
      <c r="F296" t="s">
        <v>23</v>
      </c>
      <c r="G296">
        <v>0</v>
      </c>
      <c r="H296" t="s">
        <v>37</v>
      </c>
      <c r="I296" t="s">
        <v>18</v>
      </c>
      <c r="J296" t="s">
        <v>19</v>
      </c>
      <c r="K296" t="s">
        <v>43</v>
      </c>
      <c r="L296">
        <v>0</v>
      </c>
      <c r="M296" t="s">
        <v>72</v>
      </c>
      <c r="N296">
        <v>2021</v>
      </c>
    </row>
    <row r="297" spans="1:14" x14ac:dyDescent="0.25">
      <c r="A297">
        <v>296</v>
      </c>
      <c r="B297">
        <v>44335</v>
      </c>
      <c r="C297" t="s">
        <v>44</v>
      </c>
      <c r="D297" t="s">
        <v>33</v>
      </c>
      <c r="E297" t="s">
        <v>34</v>
      </c>
      <c r="F297" t="s">
        <v>62</v>
      </c>
      <c r="G297">
        <v>0</v>
      </c>
      <c r="H297" t="s">
        <v>57</v>
      </c>
      <c r="I297" t="s">
        <v>53</v>
      </c>
      <c r="J297" t="s">
        <v>19</v>
      </c>
      <c r="K297" t="s">
        <v>52</v>
      </c>
      <c r="L297">
        <v>3286</v>
      </c>
      <c r="M297" t="s">
        <v>72</v>
      </c>
      <c r="N297">
        <v>2021</v>
      </c>
    </row>
    <row r="298" spans="1:14" x14ac:dyDescent="0.25">
      <c r="A298">
        <v>297</v>
      </c>
      <c r="B298">
        <v>44335</v>
      </c>
      <c r="C298" t="s">
        <v>64</v>
      </c>
      <c r="D298" t="s">
        <v>14</v>
      </c>
      <c r="E298" t="s">
        <v>47</v>
      </c>
      <c r="F298" t="s">
        <v>35</v>
      </c>
      <c r="G298">
        <v>0</v>
      </c>
      <c r="H298" t="s">
        <v>45</v>
      </c>
      <c r="I298" t="s">
        <v>18</v>
      </c>
      <c r="J298" t="s">
        <v>26</v>
      </c>
      <c r="K298" t="s">
        <v>59</v>
      </c>
      <c r="L298">
        <v>0</v>
      </c>
      <c r="M298" t="s">
        <v>72</v>
      </c>
      <c r="N298">
        <v>2021</v>
      </c>
    </row>
    <row r="299" spans="1:14" x14ac:dyDescent="0.25">
      <c r="A299">
        <v>298</v>
      </c>
      <c r="B299">
        <v>44336</v>
      </c>
      <c r="C299" t="s">
        <v>61</v>
      </c>
      <c r="D299" t="s">
        <v>14</v>
      </c>
      <c r="E299" t="s">
        <v>22</v>
      </c>
      <c r="F299" t="s">
        <v>23</v>
      </c>
      <c r="G299">
        <v>0</v>
      </c>
      <c r="H299" t="s">
        <v>17</v>
      </c>
      <c r="I299" t="s">
        <v>18</v>
      </c>
      <c r="J299" t="s">
        <v>19</v>
      </c>
      <c r="K299" t="s">
        <v>20</v>
      </c>
      <c r="L299">
        <v>0</v>
      </c>
      <c r="M299" t="s">
        <v>72</v>
      </c>
      <c r="N299">
        <v>2021</v>
      </c>
    </row>
    <row r="300" spans="1:14" x14ac:dyDescent="0.25">
      <c r="A300">
        <v>299</v>
      </c>
      <c r="B300">
        <v>44336</v>
      </c>
      <c r="C300" t="s">
        <v>65</v>
      </c>
      <c r="D300" t="s">
        <v>14</v>
      </c>
      <c r="E300" t="s">
        <v>34</v>
      </c>
      <c r="F300" t="s">
        <v>48</v>
      </c>
      <c r="G300">
        <v>0</v>
      </c>
      <c r="H300" t="s">
        <v>30</v>
      </c>
      <c r="I300" t="s">
        <v>39</v>
      </c>
      <c r="J300" t="s">
        <v>46</v>
      </c>
      <c r="K300" t="s">
        <v>31</v>
      </c>
      <c r="L300">
        <v>60</v>
      </c>
      <c r="M300" t="s">
        <v>72</v>
      </c>
      <c r="N300">
        <v>2021</v>
      </c>
    </row>
    <row r="301" spans="1:14" x14ac:dyDescent="0.25">
      <c r="A301">
        <v>300</v>
      </c>
      <c r="B301">
        <v>44340</v>
      </c>
      <c r="C301" t="s">
        <v>61</v>
      </c>
      <c r="D301" t="s">
        <v>33</v>
      </c>
      <c r="E301" t="s">
        <v>15</v>
      </c>
      <c r="F301" t="s">
        <v>16</v>
      </c>
      <c r="G301">
        <v>0</v>
      </c>
      <c r="H301" t="s">
        <v>57</v>
      </c>
      <c r="I301" t="s">
        <v>18</v>
      </c>
      <c r="J301" t="s">
        <v>19</v>
      </c>
      <c r="K301" t="s">
        <v>31</v>
      </c>
      <c r="L301">
        <v>0</v>
      </c>
      <c r="M301" t="s">
        <v>72</v>
      </c>
      <c r="N301">
        <v>2021</v>
      </c>
    </row>
    <row r="302" spans="1:14" x14ac:dyDescent="0.25">
      <c r="A302">
        <v>301</v>
      </c>
      <c r="B302">
        <v>44342</v>
      </c>
      <c r="C302" t="s">
        <v>44</v>
      </c>
      <c r="D302" t="s">
        <v>14</v>
      </c>
      <c r="E302" t="s">
        <v>47</v>
      </c>
      <c r="F302" t="s">
        <v>48</v>
      </c>
      <c r="G302">
        <v>0</v>
      </c>
      <c r="H302" t="s">
        <v>57</v>
      </c>
      <c r="I302" t="s">
        <v>18</v>
      </c>
      <c r="J302" t="s">
        <v>19</v>
      </c>
      <c r="K302" t="s">
        <v>20</v>
      </c>
      <c r="L302">
        <v>0</v>
      </c>
      <c r="M302" t="s">
        <v>72</v>
      </c>
      <c r="N302">
        <v>2021</v>
      </c>
    </row>
    <row r="303" spans="1:14" x14ac:dyDescent="0.25">
      <c r="A303">
        <v>302</v>
      </c>
      <c r="B303">
        <v>44342</v>
      </c>
      <c r="C303" t="s">
        <v>44</v>
      </c>
      <c r="D303" t="s">
        <v>14</v>
      </c>
      <c r="E303" t="s">
        <v>15</v>
      </c>
      <c r="F303" t="s">
        <v>29</v>
      </c>
      <c r="G303">
        <v>0</v>
      </c>
      <c r="H303" t="s">
        <v>37</v>
      </c>
      <c r="I303" t="s">
        <v>53</v>
      </c>
      <c r="J303" t="s">
        <v>46</v>
      </c>
      <c r="K303" t="s">
        <v>40</v>
      </c>
      <c r="L303">
        <v>4213</v>
      </c>
      <c r="M303" t="s">
        <v>72</v>
      </c>
      <c r="N303">
        <v>2021</v>
      </c>
    </row>
    <row r="304" spans="1:14" x14ac:dyDescent="0.25">
      <c r="A304">
        <v>303</v>
      </c>
      <c r="B304">
        <v>44345</v>
      </c>
      <c r="C304" t="s">
        <v>41</v>
      </c>
      <c r="D304" t="s">
        <v>14</v>
      </c>
      <c r="E304" t="s">
        <v>42</v>
      </c>
      <c r="F304" t="s">
        <v>38</v>
      </c>
      <c r="G304">
        <v>1</v>
      </c>
      <c r="H304" t="s">
        <v>17</v>
      </c>
      <c r="I304" t="s">
        <v>25</v>
      </c>
      <c r="J304" t="s">
        <v>19</v>
      </c>
      <c r="K304" t="s">
        <v>54</v>
      </c>
      <c r="L304">
        <v>3657</v>
      </c>
      <c r="M304" t="s">
        <v>72</v>
      </c>
      <c r="N304">
        <v>2021</v>
      </c>
    </row>
    <row r="305" spans="1:14" x14ac:dyDescent="0.25">
      <c r="A305">
        <v>304</v>
      </c>
      <c r="B305">
        <v>44346</v>
      </c>
      <c r="C305" t="s">
        <v>44</v>
      </c>
      <c r="D305" t="s">
        <v>14</v>
      </c>
      <c r="E305" t="s">
        <v>34</v>
      </c>
      <c r="F305" t="s">
        <v>23</v>
      </c>
      <c r="G305">
        <v>0</v>
      </c>
      <c r="H305" t="s">
        <v>45</v>
      </c>
      <c r="I305" t="s">
        <v>39</v>
      </c>
      <c r="J305" t="s">
        <v>19</v>
      </c>
      <c r="K305" t="s">
        <v>59</v>
      </c>
      <c r="L305">
        <v>442</v>
      </c>
      <c r="M305" t="s">
        <v>72</v>
      </c>
      <c r="N305">
        <v>2021</v>
      </c>
    </row>
    <row r="306" spans="1:14" x14ac:dyDescent="0.25">
      <c r="A306">
        <v>305</v>
      </c>
      <c r="B306">
        <v>44348</v>
      </c>
      <c r="C306" t="s">
        <v>65</v>
      </c>
      <c r="D306" t="s">
        <v>14</v>
      </c>
      <c r="E306" t="s">
        <v>15</v>
      </c>
      <c r="F306" t="s">
        <v>29</v>
      </c>
      <c r="G306">
        <v>0</v>
      </c>
      <c r="H306" t="s">
        <v>30</v>
      </c>
      <c r="I306" t="s">
        <v>18</v>
      </c>
      <c r="J306" t="s">
        <v>26</v>
      </c>
      <c r="K306" t="s">
        <v>40</v>
      </c>
      <c r="L306">
        <v>0</v>
      </c>
      <c r="M306" t="s">
        <v>73</v>
      </c>
      <c r="N306">
        <v>2021</v>
      </c>
    </row>
    <row r="307" spans="1:14" x14ac:dyDescent="0.25">
      <c r="A307">
        <v>306</v>
      </c>
      <c r="B307">
        <v>44348</v>
      </c>
      <c r="C307" t="s">
        <v>41</v>
      </c>
      <c r="D307" t="s">
        <v>14</v>
      </c>
      <c r="E307" t="s">
        <v>34</v>
      </c>
      <c r="F307" t="s">
        <v>23</v>
      </c>
      <c r="G307">
        <v>0</v>
      </c>
      <c r="H307" t="s">
        <v>37</v>
      </c>
      <c r="I307" t="s">
        <v>18</v>
      </c>
      <c r="J307" t="s">
        <v>26</v>
      </c>
      <c r="K307" t="s">
        <v>27</v>
      </c>
      <c r="L307">
        <v>0</v>
      </c>
      <c r="M307" t="s">
        <v>73</v>
      </c>
      <c r="N307">
        <v>2021</v>
      </c>
    </row>
    <row r="308" spans="1:14" x14ac:dyDescent="0.25">
      <c r="A308">
        <v>307</v>
      </c>
      <c r="B308">
        <v>44349</v>
      </c>
      <c r="C308" t="s">
        <v>58</v>
      </c>
      <c r="D308" t="s">
        <v>14</v>
      </c>
      <c r="E308" t="s">
        <v>34</v>
      </c>
      <c r="F308" t="s">
        <v>48</v>
      </c>
      <c r="G308">
        <v>0</v>
      </c>
      <c r="H308" t="s">
        <v>49</v>
      </c>
      <c r="I308" t="s">
        <v>53</v>
      </c>
      <c r="J308" t="s">
        <v>46</v>
      </c>
      <c r="K308" t="s">
        <v>59</v>
      </c>
      <c r="L308">
        <v>882</v>
      </c>
      <c r="M308" t="s">
        <v>73</v>
      </c>
      <c r="N308">
        <v>2021</v>
      </c>
    </row>
    <row r="309" spans="1:14" x14ac:dyDescent="0.25">
      <c r="A309">
        <v>308</v>
      </c>
      <c r="B309">
        <v>44349</v>
      </c>
      <c r="C309" t="s">
        <v>44</v>
      </c>
      <c r="D309" t="s">
        <v>14</v>
      </c>
      <c r="E309" t="s">
        <v>47</v>
      </c>
      <c r="F309" t="s">
        <v>36</v>
      </c>
      <c r="G309">
        <v>0</v>
      </c>
      <c r="H309" t="s">
        <v>45</v>
      </c>
      <c r="I309" t="s">
        <v>18</v>
      </c>
      <c r="J309" t="s">
        <v>19</v>
      </c>
      <c r="K309" t="s">
        <v>43</v>
      </c>
      <c r="L309">
        <v>0</v>
      </c>
      <c r="M309" t="s">
        <v>73</v>
      </c>
      <c r="N309">
        <v>2021</v>
      </c>
    </row>
    <row r="310" spans="1:14" x14ac:dyDescent="0.25">
      <c r="A310">
        <v>309</v>
      </c>
      <c r="B310">
        <v>44350</v>
      </c>
      <c r="C310" t="s">
        <v>64</v>
      </c>
      <c r="D310" t="s">
        <v>33</v>
      </c>
      <c r="E310" t="s">
        <v>34</v>
      </c>
      <c r="F310" t="s">
        <v>23</v>
      </c>
      <c r="G310">
        <v>3</v>
      </c>
      <c r="H310" t="s">
        <v>45</v>
      </c>
      <c r="I310" t="s">
        <v>25</v>
      </c>
      <c r="J310" t="s">
        <v>19</v>
      </c>
      <c r="K310" t="s">
        <v>40</v>
      </c>
      <c r="L310">
        <v>498</v>
      </c>
      <c r="M310" t="s">
        <v>73</v>
      </c>
      <c r="N310">
        <v>2021</v>
      </c>
    </row>
    <row r="311" spans="1:14" x14ac:dyDescent="0.25">
      <c r="A311">
        <v>310</v>
      </c>
      <c r="B311">
        <v>44350</v>
      </c>
      <c r="C311" t="s">
        <v>13</v>
      </c>
      <c r="D311" t="s">
        <v>14</v>
      </c>
      <c r="E311" t="s">
        <v>42</v>
      </c>
      <c r="F311" t="s">
        <v>62</v>
      </c>
      <c r="G311">
        <v>4.5</v>
      </c>
      <c r="H311" t="s">
        <v>55</v>
      </c>
      <c r="I311" t="s">
        <v>25</v>
      </c>
      <c r="J311" t="s">
        <v>19</v>
      </c>
      <c r="K311" t="s">
        <v>20</v>
      </c>
      <c r="L311">
        <v>3170</v>
      </c>
      <c r="M311" t="s">
        <v>73</v>
      </c>
      <c r="N311">
        <v>2021</v>
      </c>
    </row>
    <row r="312" spans="1:14" x14ac:dyDescent="0.25">
      <c r="A312">
        <v>311</v>
      </c>
      <c r="B312">
        <v>44353</v>
      </c>
      <c r="C312" t="s">
        <v>32</v>
      </c>
      <c r="D312" t="s">
        <v>14</v>
      </c>
      <c r="E312" t="s">
        <v>47</v>
      </c>
      <c r="F312" t="s">
        <v>16</v>
      </c>
      <c r="G312">
        <v>0</v>
      </c>
      <c r="H312" t="s">
        <v>49</v>
      </c>
      <c r="I312" t="s">
        <v>53</v>
      </c>
      <c r="J312" t="s">
        <v>26</v>
      </c>
      <c r="K312" t="s">
        <v>20</v>
      </c>
      <c r="L312">
        <v>4260</v>
      </c>
      <c r="M312" t="s">
        <v>73</v>
      </c>
      <c r="N312">
        <v>2021</v>
      </c>
    </row>
    <row r="313" spans="1:14" x14ac:dyDescent="0.25">
      <c r="A313">
        <v>312</v>
      </c>
      <c r="B313">
        <v>44354</v>
      </c>
      <c r="C313" t="s">
        <v>28</v>
      </c>
      <c r="D313" t="s">
        <v>14</v>
      </c>
      <c r="E313" t="s">
        <v>47</v>
      </c>
      <c r="F313" t="s">
        <v>48</v>
      </c>
      <c r="G313">
        <v>0</v>
      </c>
      <c r="H313" t="s">
        <v>60</v>
      </c>
      <c r="I313" t="s">
        <v>39</v>
      </c>
      <c r="J313" t="s">
        <v>26</v>
      </c>
      <c r="K313" t="s">
        <v>52</v>
      </c>
      <c r="L313">
        <v>107</v>
      </c>
      <c r="M313" t="s">
        <v>73</v>
      </c>
      <c r="N313">
        <v>2021</v>
      </c>
    </row>
    <row r="314" spans="1:14" x14ac:dyDescent="0.25">
      <c r="A314">
        <v>313</v>
      </c>
      <c r="B314">
        <v>44355</v>
      </c>
      <c r="C314" t="s">
        <v>51</v>
      </c>
      <c r="D314" t="s">
        <v>14</v>
      </c>
      <c r="E314" t="s">
        <v>15</v>
      </c>
      <c r="F314" t="s">
        <v>35</v>
      </c>
      <c r="G314">
        <v>0</v>
      </c>
      <c r="H314" t="s">
        <v>24</v>
      </c>
      <c r="I314" t="s">
        <v>18</v>
      </c>
      <c r="J314" t="s">
        <v>19</v>
      </c>
      <c r="K314" t="s">
        <v>54</v>
      </c>
      <c r="L314">
        <v>0</v>
      </c>
      <c r="M314" t="s">
        <v>73</v>
      </c>
      <c r="N314">
        <v>2021</v>
      </c>
    </row>
    <row r="315" spans="1:14" x14ac:dyDescent="0.25">
      <c r="A315">
        <v>314</v>
      </c>
      <c r="B315">
        <v>44355</v>
      </c>
      <c r="C315" t="s">
        <v>21</v>
      </c>
      <c r="D315" t="s">
        <v>14</v>
      </c>
      <c r="E315" t="s">
        <v>22</v>
      </c>
      <c r="F315" t="s">
        <v>62</v>
      </c>
      <c r="G315">
        <v>0</v>
      </c>
      <c r="H315" t="s">
        <v>55</v>
      </c>
      <c r="I315" t="s">
        <v>39</v>
      </c>
      <c r="J315" t="s">
        <v>46</v>
      </c>
      <c r="K315" t="s">
        <v>20</v>
      </c>
      <c r="L315">
        <v>152</v>
      </c>
      <c r="M315" t="s">
        <v>73</v>
      </c>
      <c r="N315">
        <v>2021</v>
      </c>
    </row>
    <row r="316" spans="1:14" x14ac:dyDescent="0.25">
      <c r="A316">
        <v>315</v>
      </c>
      <c r="B316">
        <v>44359</v>
      </c>
      <c r="C316" t="s">
        <v>56</v>
      </c>
      <c r="D316" t="s">
        <v>14</v>
      </c>
      <c r="E316" t="s">
        <v>15</v>
      </c>
      <c r="F316" t="s">
        <v>16</v>
      </c>
      <c r="G316">
        <v>4.5</v>
      </c>
      <c r="H316" t="s">
        <v>55</v>
      </c>
      <c r="I316" t="s">
        <v>25</v>
      </c>
      <c r="J316" t="s">
        <v>46</v>
      </c>
      <c r="K316" t="s">
        <v>43</v>
      </c>
      <c r="L316">
        <v>2651</v>
      </c>
      <c r="M316" t="s">
        <v>73</v>
      </c>
      <c r="N316">
        <v>2021</v>
      </c>
    </row>
    <row r="317" spans="1:14" x14ac:dyDescent="0.25">
      <c r="A317">
        <v>316</v>
      </c>
      <c r="B317">
        <v>44359</v>
      </c>
      <c r="C317" t="s">
        <v>61</v>
      </c>
      <c r="D317" t="s">
        <v>14</v>
      </c>
      <c r="E317" t="s">
        <v>22</v>
      </c>
      <c r="F317" t="s">
        <v>29</v>
      </c>
      <c r="G317">
        <v>0</v>
      </c>
      <c r="H317" t="s">
        <v>55</v>
      </c>
      <c r="I317" t="s">
        <v>39</v>
      </c>
      <c r="J317" t="s">
        <v>19</v>
      </c>
      <c r="K317" t="s">
        <v>59</v>
      </c>
      <c r="L317">
        <v>491</v>
      </c>
      <c r="M317" t="s">
        <v>73</v>
      </c>
      <c r="N317">
        <v>2021</v>
      </c>
    </row>
    <row r="318" spans="1:14" x14ac:dyDescent="0.25">
      <c r="A318">
        <v>317</v>
      </c>
      <c r="B318">
        <v>44360</v>
      </c>
      <c r="C318" t="s">
        <v>65</v>
      </c>
      <c r="D318" t="s">
        <v>14</v>
      </c>
      <c r="E318" t="s">
        <v>47</v>
      </c>
      <c r="F318" t="s">
        <v>23</v>
      </c>
      <c r="G318">
        <v>0</v>
      </c>
      <c r="H318" t="s">
        <v>55</v>
      </c>
      <c r="I318" t="s">
        <v>18</v>
      </c>
      <c r="J318" t="s">
        <v>19</v>
      </c>
      <c r="K318" t="s">
        <v>50</v>
      </c>
      <c r="L318">
        <v>0</v>
      </c>
      <c r="M318" t="s">
        <v>73</v>
      </c>
      <c r="N318">
        <v>2021</v>
      </c>
    </row>
    <row r="319" spans="1:14" x14ac:dyDescent="0.25">
      <c r="A319">
        <v>318</v>
      </c>
      <c r="B319">
        <v>44362</v>
      </c>
      <c r="C319" t="s">
        <v>56</v>
      </c>
      <c r="D319" t="s">
        <v>14</v>
      </c>
      <c r="E319" t="s">
        <v>47</v>
      </c>
      <c r="F319" t="s">
        <v>48</v>
      </c>
      <c r="G319">
        <v>2</v>
      </c>
      <c r="H319" t="s">
        <v>45</v>
      </c>
      <c r="I319" t="s">
        <v>25</v>
      </c>
      <c r="J319" t="s">
        <v>46</v>
      </c>
      <c r="K319" t="s">
        <v>31</v>
      </c>
      <c r="L319">
        <v>674</v>
      </c>
      <c r="M319" t="s">
        <v>73</v>
      </c>
      <c r="N319">
        <v>2021</v>
      </c>
    </row>
    <row r="320" spans="1:14" x14ac:dyDescent="0.25">
      <c r="A320">
        <v>319</v>
      </c>
      <c r="B320">
        <v>44364</v>
      </c>
      <c r="C320" t="s">
        <v>64</v>
      </c>
      <c r="D320" t="s">
        <v>14</v>
      </c>
      <c r="E320" t="s">
        <v>34</v>
      </c>
      <c r="F320" t="s">
        <v>16</v>
      </c>
      <c r="G320">
        <v>0</v>
      </c>
      <c r="H320" t="s">
        <v>55</v>
      </c>
      <c r="I320" t="s">
        <v>53</v>
      </c>
      <c r="J320" t="s">
        <v>46</v>
      </c>
      <c r="K320" t="s">
        <v>59</v>
      </c>
      <c r="L320">
        <v>718</v>
      </c>
      <c r="M320" t="s">
        <v>73</v>
      </c>
      <c r="N320">
        <v>2021</v>
      </c>
    </row>
    <row r="321" spans="1:14" x14ac:dyDescent="0.25">
      <c r="A321">
        <v>320</v>
      </c>
      <c r="B321">
        <v>44365</v>
      </c>
      <c r="C321" t="s">
        <v>28</v>
      </c>
      <c r="D321" t="s">
        <v>14</v>
      </c>
      <c r="E321" t="s">
        <v>15</v>
      </c>
      <c r="F321" t="s">
        <v>29</v>
      </c>
      <c r="G321">
        <v>1.5</v>
      </c>
      <c r="H321" t="s">
        <v>55</v>
      </c>
      <c r="I321" t="s">
        <v>25</v>
      </c>
      <c r="J321" t="s">
        <v>19</v>
      </c>
      <c r="K321" t="s">
        <v>50</v>
      </c>
      <c r="L321">
        <v>1698</v>
      </c>
      <c r="M321" t="s">
        <v>73</v>
      </c>
      <c r="N321">
        <v>2021</v>
      </c>
    </row>
    <row r="322" spans="1:14" x14ac:dyDescent="0.25">
      <c r="A322">
        <v>321</v>
      </c>
      <c r="B322">
        <v>44365</v>
      </c>
      <c r="C322" t="s">
        <v>13</v>
      </c>
      <c r="D322" t="s">
        <v>14</v>
      </c>
      <c r="E322" t="s">
        <v>47</v>
      </c>
      <c r="F322" t="s">
        <v>16</v>
      </c>
      <c r="G322">
        <v>0</v>
      </c>
      <c r="H322" t="s">
        <v>57</v>
      </c>
      <c r="I322" t="s">
        <v>53</v>
      </c>
      <c r="J322" t="s">
        <v>26</v>
      </c>
      <c r="K322" t="s">
        <v>20</v>
      </c>
      <c r="L322">
        <v>4664</v>
      </c>
      <c r="M322" t="s">
        <v>73</v>
      </c>
      <c r="N322">
        <v>2021</v>
      </c>
    </row>
    <row r="323" spans="1:14" x14ac:dyDescent="0.25">
      <c r="A323">
        <v>322</v>
      </c>
      <c r="B323">
        <v>44365</v>
      </c>
      <c r="C323" t="s">
        <v>56</v>
      </c>
      <c r="D323" t="s">
        <v>14</v>
      </c>
      <c r="E323" t="s">
        <v>34</v>
      </c>
      <c r="F323" t="s">
        <v>38</v>
      </c>
      <c r="G323">
        <v>4.5</v>
      </c>
      <c r="H323" t="s">
        <v>49</v>
      </c>
      <c r="I323" t="s">
        <v>25</v>
      </c>
      <c r="J323" t="s">
        <v>46</v>
      </c>
      <c r="K323" t="s">
        <v>40</v>
      </c>
      <c r="L323">
        <v>1694</v>
      </c>
      <c r="M323" t="s">
        <v>73</v>
      </c>
      <c r="N323">
        <v>2021</v>
      </c>
    </row>
    <row r="324" spans="1:14" x14ac:dyDescent="0.25">
      <c r="A324">
        <v>323</v>
      </c>
      <c r="B324">
        <v>44366</v>
      </c>
      <c r="C324" t="s">
        <v>58</v>
      </c>
      <c r="D324" t="s">
        <v>14</v>
      </c>
      <c r="E324" t="s">
        <v>34</v>
      </c>
      <c r="F324" t="s">
        <v>36</v>
      </c>
      <c r="G324">
        <v>0</v>
      </c>
      <c r="H324" t="s">
        <v>30</v>
      </c>
      <c r="I324" t="s">
        <v>53</v>
      </c>
      <c r="J324" t="s">
        <v>46</v>
      </c>
      <c r="K324" t="s">
        <v>50</v>
      </c>
      <c r="L324">
        <v>522</v>
      </c>
      <c r="M324" t="s">
        <v>73</v>
      </c>
      <c r="N324">
        <v>2021</v>
      </c>
    </row>
    <row r="325" spans="1:14" x14ac:dyDescent="0.25">
      <c r="A325">
        <v>324</v>
      </c>
      <c r="B325">
        <v>44368</v>
      </c>
      <c r="C325" t="s">
        <v>32</v>
      </c>
      <c r="D325" t="s">
        <v>14</v>
      </c>
      <c r="E325" t="s">
        <v>34</v>
      </c>
      <c r="F325" t="s">
        <v>35</v>
      </c>
      <c r="G325">
        <v>0</v>
      </c>
      <c r="H325" t="s">
        <v>30</v>
      </c>
      <c r="I325" t="s">
        <v>53</v>
      </c>
      <c r="J325" t="s">
        <v>26</v>
      </c>
      <c r="K325" t="s">
        <v>54</v>
      </c>
      <c r="L325">
        <v>3221</v>
      </c>
      <c r="M325" t="s">
        <v>73</v>
      </c>
      <c r="N325">
        <v>2021</v>
      </c>
    </row>
    <row r="326" spans="1:14" x14ac:dyDescent="0.25">
      <c r="A326">
        <v>325</v>
      </c>
      <c r="B326">
        <v>44370</v>
      </c>
      <c r="C326" t="s">
        <v>51</v>
      </c>
      <c r="D326" t="s">
        <v>14</v>
      </c>
      <c r="E326" t="s">
        <v>22</v>
      </c>
      <c r="F326" t="s">
        <v>36</v>
      </c>
      <c r="G326">
        <v>0</v>
      </c>
      <c r="H326" t="s">
        <v>30</v>
      </c>
      <c r="I326" t="s">
        <v>18</v>
      </c>
      <c r="J326" t="s">
        <v>26</v>
      </c>
      <c r="K326" t="s">
        <v>20</v>
      </c>
      <c r="L326">
        <v>0</v>
      </c>
      <c r="M326" t="s">
        <v>73</v>
      </c>
      <c r="N326">
        <v>2021</v>
      </c>
    </row>
    <row r="327" spans="1:14" x14ac:dyDescent="0.25">
      <c r="A327">
        <v>326</v>
      </c>
      <c r="B327">
        <v>44372</v>
      </c>
      <c r="C327" t="s">
        <v>64</v>
      </c>
      <c r="D327" t="s">
        <v>14</v>
      </c>
      <c r="E327" t="s">
        <v>22</v>
      </c>
      <c r="F327" t="s">
        <v>16</v>
      </c>
      <c r="G327">
        <v>0</v>
      </c>
      <c r="H327" t="s">
        <v>24</v>
      </c>
      <c r="I327" t="s">
        <v>18</v>
      </c>
      <c r="J327" t="s">
        <v>26</v>
      </c>
      <c r="K327" t="s">
        <v>20</v>
      </c>
      <c r="L327">
        <v>0</v>
      </c>
      <c r="M327" t="s">
        <v>73</v>
      </c>
      <c r="N327">
        <v>2021</v>
      </c>
    </row>
    <row r="328" spans="1:14" x14ac:dyDescent="0.25">
      <c r="A328">
        <v>327</v>
      </c>
      <c r="B328">
        <v>44373</v>
      </c>
      <c r="C328" t="s">
        <v>28</v>
      </c>
      <c r="D328" t="s">
        <v>14</v>
      </c>
      <c r="E328" t="s">
        <v>47</v>
      </c>
      <c r="F328" t="s">
        <v>48</v>
      </c>
      <c r="G328">
        <v>0</v>
      </c>
      <c r="H328" t="s">
        <v>30</v>
      </c>
      <c r="I328" t="s">
        <v>39</v>
      </c>
      <c r="J328" t="s">
        <v>46</v>
      </c>
      <c r="K328" t="s">
        <v>54</v>
      </c>
      <c r="L328">
        <v>383</v>
      </c>
      <c r="M328" t="s">
        <v>73</v>
      </c>
      <c r="N328">
        <v>2021</v>
      </c>
    </row>
    <row r="329" spans="1:14" x14ac:dyDescent="0.25">
      <c r="A329">
        <v>328</v>
      </c>
      <c r="B329">
        <v>44374</v>
      </c>
      <c r="C329" t="s">
        <v>28</v>
      </c>
      <c r="D329" t="s">
        <v>14</v>
      </c>
      <c r="E329" t="s">
        <v>15</v>
      </c>
      <c r="F329" t="s">
        <v>35</v>
      </c>
      <c r="G329">
        <v>4.5</v>
      </c>
      <c r="H329" t="s">
        <v>30</v>
      </c>
      <c r="I329" t="s">
        <v>25</v>
      </c>
      <c r="J329" t="s">
        <v>26</v>
      </c>
      <c r="K329" t="s">
        <v>52</v>
      </c>
      <c r="L329">
        <v>3588</v>
      </c>
      <c r="M329" t="s">
        <v>73</v>
      </c>
      <c r="N329">
        <v>2021</v>
      </c>
    </row>
    <row r="330" spans="1:14" x14ac:dyDescent="0.25">
      <c r="A330">
        <v>329</v>
      </c>
      <c r="B330">
        <v>44375</v>
      </c>
      <c r="C330" t="s">
        <v>61</v>
      </c>
      <c r="D330" t="s">
        <v>14</v>
      </c>
      <c r="E330" t="s">
        <v>47</v>
      </c>
      <c r="F330" t="s">
        <v>23</v>
      </c>
      <c r="G330">
        <v>0</v>
      </c>
      <c r="H330" t="s">
        <v>37</v>
      </c>
      <c r="I330" t="s">
        <v>39</v>
      </c>
      <c r="J330" t="s">
        <v>26</v>
      </c>
      <c r="K330" t="s">
        <v>27</v>
      </c>
      <c r="L330">
        <v>119</v>
      </c>
      <c r="M330" t="s">
        <v>73</v>
      </c>
      <c r="N330">
        <v>2021</v>
      </c>
    </row>
    <row r="331" spans="1:14" x14ac:dyDescent="0.25">
      <c r="A331">
        <v>330</v>
      </c>
      <c r="B331">
        <v>44376</v>
      </c>
      <c r="C331" t="s">
        <v>51</v>
      </c>
      <c r="D331" t="s">
        <v>14</v>
      </c>
      <c r="E331" t="s">
        <v>47</v>
      </c>
      <c r="F331" t="s">
        <v>36</v>
      </c>
      <c r="G331">
        <v>0</v>
      </c>
      <c r="H331" t="s">
        <v>17</v>
      </c>
      <c r="I331" t="s">
        <v>18</v>
      </c>
      <c r="J331" t="s">
        <v>26</v>
      </c>
      <c r="K331" t="s">
        <v>20</v>
      </c>
      <c r="L331">
        <v>0</v>
      </c>
      <c r="M331" t="s">
        <v>73</v>
      </c>
      <c r="N331">
        <v>2021</v>
      </c>
    </row>
    <row r="332" spans="1:14" x14ac:dyDescent="0.25">
      <c r="A332">
        <v>331</v>
      </c>
      <c r="B332">
        <v>44381</v>
      </c>
      <c r="C332" t="s">
        <v>65</v>
      </c>
      <c r="D332" t="s">
        <v>14</v>
      </c>
      <c r="E332" t="s">
        <v>47</v>
      </c>
      <c r="F332" t="s">
        <v>35</v>
      </c>
      <c r="G332">
        <v>0</v>
      </c>
      <c r="H332" t="s">
        <v>60</v>
      </c>
      <c r="I332" t="s">
        <v>39</v>
      </c>
      <c r="J332" t="s">
        <v>46</v>
      </c>
      <c r="K332" t="s">
        <v>31</v>
      </c>
      <c r="L332">
        <v>88</v>
      </c>
      <c r="M332" t="s">
        <v>74</v>
      </c>
      <c r="N332">
        <v>2021</v>
      </c>
    </row>
    <row r="333" spans="1:14" x14ac:dyDescent="0.25">
      <c r="A333">
        <v>332</v>
      </c>
      <c r="B333">
        <v>44383</v>
      </c>
      <c r="C333" t="s">
        <v>61</v>
      </c>
      <c r="D333" t="s">
        <v>14</v>
      </c>
      <c r="E333" t="s">
        <v>15</v>
      </c>
      <c r="F333" t="s">
        <v>48</v>
      </c>
      <c r="G333">
        <v>0</v>
      </c>
      <c r="H333" t="s">
        <v>24</v>
      </c>
      <c r="I333" t="s">
        <v>39</v>
      </c>
      <c r="J333" t="s">
        <v>26</v>
      </c>
      <c r="K333" t="s">
        <v>50</v>
      </c>
      <c r="L333">
        <v>373</v>
      </c>
      <c r="M333" t="s">
        <v>74</v>
      </c>
      <c r="N333">
        <v>2021</v>
      </c>
    </row>
    <row r="334" spans="1:14" x14ac:dyDescent="0.25">
      <c r="A334">
        <v>333</v>
      </c>
      <c r="B334">
        <v>44384</v>
      </c>
      <c r="C334" t="s">
        <v>61</v>
      </c>
      <c r="D334" t="s">
        <v>14</v>
      </c>
      <c r="E334" t="s">
        <v>22</v>
      </c>
      <c r="F334" t="s">
        <v>36</v>
      </c>
      <c r="G334">
        <v>0</v>
      </c>
      <c r="H334" t="s">
        <v>60</v>
      </c>
      <c r="I334" t="s">
        <v>53</v>
      </c>
      <c r="J334" t="s">
        <v>26</v>
      </c>
      <c r="K334" t="s">
        <v>52</v>
      </c>
      <c r="L334">
        <v>4905</v>
      </c>
      <c r="M334" t="s">
        <v>74</v>
      </c>
      <c r="N334">
        <v>2021</v>
      </c>
    </row>
    <row r="335" spans="1:14" x14ac:dyDescent="0.25">
      <c r="A335">
        <v>334</v>
      </c>
      <c r="B335">
        <v>44385</v>
      </c>
      <c r="C335" t="s">
        <v>64</v>
      </c>
      <c r="D335" t="s">
        <v>14</v>
      </c>
      <c r="E335" t="s">
        <v>15</v>
      </c>
      <c r="F335" t="s">
        <v>38</v>
      </c>
      <c r="G335">
        <v>4.5</v>
      </c>
      <c r="H335" t="s">
        <v>37</v>
      </c>
      <c r="I335" t="s">
        <v>25</v>
      </c>
      <c r="J335" t="s">
        <v>19</v>
      </c>
      <c r="K335" t="s">
        <v>50</v>
      </c>
      <c r="L335">
        <v>738</v>
      </c>
      <c r="M335" t="s">
        <v>74</v>
      </c>
      <c r="N335">
        <v>2021</v>
      </c>
    </row>
    <row r="336" spans="1:14" x14ac:dyDescent="0.25">
      <c r="A336">
        <v>335</v>
      </c>
      <c r="B336">
        <v>44385</v>
      </c>
      <c r="C336" t="s">
        <v>56</v>
      </c>
      <c r="D336" t="s">
        <v>14</v>
      </c>
      <c r="E336" t="s">
        <v>15</v>
      </c>
      <c r="F336" t="s">
        <v>48</v>
      </c>
      <c r="G336">
        <v>0</v>
      </c>
      <c r="H336" t="s">
        <v>57</v>
      </c>
      <c r="I336" t="s">
        <v>53</v>
      </c>
      <c r="J336" t="s">
        <v>26</v>
      </c>
      <c r="K336" t="s">
        <v>20</v>
      </c>
      <c r="L336">
        <v>2450</v>
      </c>
      <c r="M336" t="s">
        <v>74</v>
      </c>
      <c r="N336">
        <v>2021</v>
      </c>
    </row>
    <row r="337" spans="1:14" x14ac:dyDescent="0.25">
      <c r="A337">
        <v>336</v>
      </c>
      <c r="B337">
        <v>44388</v>
      </c>
      <c r="C337" t="s">
        <v>13</v>
      </c>
      <c r="D337" t="s">
        <v>14</v>
      </c>
      <c r="E337" t="s">
        <v>47</v>
      </c>
      <c r="F337" t="s">
        <v>16</v>
      </c>
      <c r="G337">
        <v>0</v>
      </c>
      <c r="H337" t="s">
        <v>49</v>
      </c>
      <c r="I337" t="s">
        <v>39</v>
      </c>
      <c r="J337" t="s">
        <v>46</v>
      </c>
      <c r="K337" t="s">
        <v>50</v>
      </c>
      <c r="L337">
        <v>321</v>
      </c>
      <c r="M337" t="s">
        <v>74</v>
      </c>
      <c r="N337">
        <v>2021</v>
      </c>
    </row>
    <row r="338" spans="1:14" x14ac:dyDescent="0.25">
      <c r="A338">
        <v>337</v>
      </c>
      <c r="B338">
        <v>44389</v>
      </c>
      <c r="C338" t="s">
        <v>64</v>
      </c>
      <c r="D338" t="s">
        <v>14</v>
      </c>
      <c r="E338" t="s">
        <v>15</v>
      </c>
      <c r="F338" t="s">
        <v>16</v>
      </c>
      <c r="G338">
        <v>0</v>
      </c>
      <c r="H338" t="s">
        <v>30</v>
      </c>
      <c r="I338" t="s">
        <v>18</v>
      </c>
      <c r="J338" t="s">
        <v>26</v>
      </c>
      <c r="K338" t="s">
        <v>20</v>
      </c>
      <c r="L338">
        <v>0</v>
      </c>
      <c r="M338" t="s">
        <v>74</v>
      </c>
      <c r="N338">
        <v>2021</v>
      </c>
    </row>
    <row r="339" spans="1:14" x14ac:dyDescent="0.25">
      <c r="A339">
        <v>338</v>
      </c>
      <c r="B339">
        <v>44390</v>
      </c>
      <c r="C339" t="s">
        <v>65</v>
      </c>
      <c r="D339" t="s">
        <v>14</v>
      </c>
      <c r="E339" t="s">
        <v>15</v>
      </c>
      <c r="F339" t="s">
        <v>23</v>
      </c>
      <c r="G339">
        <v>3.5</v>
      </c>
      <c r="H339" t="s">
        <v>45</v>
      </c>
      <c r="I339" t="s">
        <v>25</v>
      </c>
      <c r="J339" t="s">
        <v>46</v>
      </c>
      <c r="K339" t="s">
        <v>54</v>
      </c>
      <c r="L339">
        <v>2466</v>
      </c>
      <c r="M339" t="s">
        <v>74</v>
      </c>
      <c r="N339">
        <v>2021</v>
      </c>
    </row>
    <row r="340" spans="1:14" x14ac:dyDescent="0.25">
      <c r="A340">
        <v>339</v>
      </c>
      <c r="B340">
        <v>44396</v>
      </c>
      <c r="C340" t="s">
        <v>44</v>
      </c>
      <c r="D340" t="s">
        <v>14</v>
      </c>
      <c r="E340" t="s">
        <v>47</v>
      </c>
      <c r="F340" t="s">
        <v>35</v>
      </c>
      <c r="G340">
        <v>0</v>
      </c>
      <c r="H340" t="s">
        <v>57</v>
      </c>
      <c r="I340" t="s">
        <v>18</v>
      </c>
      <c r="J340" t="s">
        <v>19</v>
      </c>
      <c r="K340" t="s">
        <v>31</v>
      </c>
      <c r="L340">
        <v>0</v>
      </c>
      <c r="M340" t="s">
        <v>74</v>
      </c>
      <c r="N340">
        <v>2021</v>
      </c>
    </row>
    <row r="341" spans="1:14" x14ac:dyDescent="0.25">
      <c r="A341">
        <v>340</v>
      </c>
      <c r="B341">
        <v>44397</v>
      </c>
      <c r="C341" t="s">
        <v>56</v>
      </c>
      <c r="D341" t="s">
        <v>14</v>
      </c>
      <c r="E341" t="s">
        <v>34</v>
      </c>
      <c r="F341" t="s">
        <v>38</v>
      </c>
      <c r="G341">
        <v>0</v>
      </c>
      <c r="H341" t="s">
        <v>57</v>
      </c>
      <c r="I341" t="s">
        <v>53</v>
      </c>
      <c r="J341" t="s">
        <v>46</v>
      </c>
      <c r="K341" t="s">
        <v>59</v>
      </c>
      <c r="L341">
        <v>2514</v>
      </c>
      <c r="M341" t="s">
        <v>74</v>
      </c>
      <c r="N341">
        <v>2021</v>
      </c>
    </row>
    <row r="342" spans="1:14" x14ac:dyDescent="0.25">
      <c r="A342">
        <v>341</v>
      </c>
      <c r="B342">
        <v>44398</v>
      </c>
      <c r="C342" t="s">
        <v>58</v>
      </c>
      <c r="D342" t="s">
        <v>14</v>
      </c>
      <c r="E342" t="s">
        <v>15</v>
      </c>
      <c r="F342" t="s">
        <v>38</v>
      </c>
      <c r="G342">
        <v>1</v>
      </c>
      <c r="H342" t="s">
        <v>17</v>
      </c>
      <c r="I342" t="s">
        <v>25</v>
      </c>
      <c r="J342" t="s">
        <v>26</v>
      </c>
      <c r="K342" t="s">
        <v>31</v>
      </c>
      <c r="L342">
        <v>3959</v>
      </c>
      <c r="M342" t="s">
        <v>74</v>
      </c>
      <c r="N342">
        <v>2021</v>
      </c>
    </row>
    <row r="343" spans="1:14" x14ac:dyDescent="0.25">
      <c r="A343">
        <v>342</v>
      </c>
      <c r="B343">
        <v>44399</v>
      </c>
      <c r="C343" t="s">
        <v>13</v>
      </c>
      <c r="D343" t="s">
        <v>14</v>
      </c>
      <c r="E343" t="s">
        <v>34</v>
      </c>
      <c r="F343" t="s">
        <v>48</v>
      </c>
      <c r="G343">
        <v>0</v>
      </c>
      <c r="H343" t="s">
        <v>37</v>
      </c>
      <c r="I343" t="s">
        <v>53</v>
      </c>
      <c r="J343" t="s">
        <v>19</v>
      </c>
      <c r="K343" t="s">
        <v>59</v>
      </c>
      <c r="L343">
        <v>4530</v>
      </c>
      <c r="M343" t="s">
        <v>74</v>
      </c>
      <c r="N343">
        <v>2021</v>
      </c>
    </row>
    <row r="344" spans="1:14" x14ac:dyDescent="0.25">
      <c r="A344">
        <v>343</v>
      </c>
      <c r="B344">
        <v>44402</v>
      </c>
      <c r="C344" t="s">
        <v>58</v>
      </c>
      <c r="D344" t="s">
        <v>14</v>
      </c>
      <c r="E344" t="s">
        <v>34</v>
      </c>
      <c r="F344" t="s">
        <v>62</v>
      </c>
      <c r="G344">
        <v>1.5</v>
      </c>
      <c r="H344" t="s">
        <v>24</v>
      </c>
      <c r="I344" t="s">
        <v>25</v>
      </c>
      <c r="J344" t="s">
        <v>26</v>
      </c>
      <c r="K344" t="s">
        <v>40</v>
      </c>
      <c r="L344">
        <v>1241</v>
      </c>
      <c r="M344" t="s">
        <v>74</v>
      </c>
      <c r="N344">
        <v>2021</v>
      </c>
    </row>
    <row r="345" spans="1:14" x14ac:dyDescent="0.25">
      <c r="A345">
        <v>344</v>
      </c>
      <c r="B345">
        <v>44402</v>
      </c>
      <c r="C345" t="s">
        <v>61</v>
      </c>
      <c r="D345" t="s">
        <v>14</v>
      </c>
      <c r="E345" t="s">
        <v>47</v>
      </c>
      <c r="F345" t="s">
        <v>36</v>
      </c>
      <c r="G345">
        <v>1</v>
      </c>
      <c r="H345" t="s">
        <v>37</v>
      </c>
      <c r="I345" t="s">
        <v>25</v>
      </c>
      <c r="J345" t="s">
        <v>46</v>
      </c>
      <c r="K345" t="s">
        <v>27</v>
      </c>
      <c r="L345">
        <v>1301</v>
      </c>
      <c r="M345" t="s">
        <v>74</v>
      </c>
      <c r="N345">
        <v>2021</v>
      </c>
    </row>
    <row r="346" spans="1:14" x14ac:dyDescent="0.25">
      <c r="A346">
        <v>345</v>
      </c>
      <c r="B346">
        <v>44408</v>
      </c>
      <c r="C346" t="s">
        <v>64</v>
      </c>
      <c r="D346" t="s">
        <v>14</v>
      </c>
      <c r="E346" t="s">
        <v>15</v>
      </c>
      <c r="F346" t="s">
        <v>62</v>
      </c>
      <c r="G346">
        <v>0</v>
      </c>
      <c r="H346" t="s">
        <v>30</v>
      </c>
      <c r="I346" t="s">
        <v>39</v>
      </c>
      <c r="J346" t="s">
        <v>26</v>
      </c>
      <c r="K346" t="s">
        <v>40</v>
      </c>
      <c r="L346">
        <v>140</v>
      </c>
      <c r="M346" t="s">
        <v>74</v>
      </c>
      <c r="N346">
        <v>2021</v>
      </c>
    </row>
    <row r="347" spans="1:14" x14ac:dyDescent="0.25">
      <c r="A347">
        <v>346</v>
      </c>
      <c r="B347">
        <v>44410</v>
      </c>
      <c r="C347" t="s">
        <v>51</v>
      </c>
      <c r="D347" t="s">
        <v>14</v>
      </c>
      <c r="E347" t="s">
        <v>42</v>
      </c>
      <c r="F347" t="s">
        <v>23</v>
      </c>
      <c r="G347">
        <v>0</v>
      </c>
      <c r="H347" t="s">
        <v>57</v>
      </c>
      <c r="I347" t="s">
        <v>53</v>
      </c>
      <c r="J347" t="s">
        <v>26</v>
      </c>
      <c r="K347" t="s">
        <v>50</v>
      </c>
      <c r="L347">
        <v>634</v>
      </c>
      <c r="M347" t="s">
        <v>75</v>
      </c>
      <c r="N347">
        <v>2021</v>
      </c>
    </row>
    <row r="348" spans="1:14" x14ac:dyDescent="0.25">
      <c r="A348">
        <v>347</v>
      </c>
      <c r="B348">
        <v>44411</v>
      </c>
      <c r="C348" t="s">
        <v>64</v>
      </c>
      <c r="D348" t="s">
        <v>14</v>
      </c>
      <c r="E348" t="s">
        <v>34</v>
      </c>
      <c r="F348" t="s">
        <v>63</v>
      </c>
      <c r="G348">
        <v>0</v>
      </c>
      <c r="H348" t="s">
        <v>57</v>
      </c>
      <c r="I348" t="s">
        <v>53</v>
      </c>
      <c r="J348" t="s">
        <v>19</v>
      </c>
      <c r="K348" t="s">
        <v>54</v>
      </c>
      <c r="L348">
        <v>3204</v>
      </c>
      <c r="M348" t="s">
        <v>75</v>
      </c>
      <c r="N348">
        <v>2021</v>
      </c>
    </row>
    <row r="349" spans="1:14" x14ac:dyDescent="0.25">
      <c r="A349">
        <v>348</v>
      </c>
      <c r="B349">
        <v>44415</v>
      </c>
      <c r="C349" t="s">
        <v>51</v>
      </c>
      <c r="D349" t="s">
        <v>14</v>
      </c>
      <c r="E349" t="s">
        <v>15</v>
      </c>
      <c r="F349" t="s">
        <v>35</v>
      </c>
      <c r="G349">
        <v>0</v>
      </c>
      <c r="H349" t="s">
        <v>45</v>
      </c>
      <c r="I349" t="s">
        <v>39</v>
      </c>
      <c r="J349" t="s">
        <v>19</v>
      </c>
      <c r="K349" t="s">
        <v>59</v>
      </c>
      <c r="L349">
        <v>453</v>
      </c>
      <c r="M349" t="s">
        <v>75</v>
      </c>
      <c r="N349">
        <v>2021</v>
      </c>
    </row>
    <row r="350" spans="1:14" x14ac:dyDescent="0.25">
      <c r="A350">
        <v>349</v>
      </c>
      <c r="B350">
        <v>44415</v>
      </c>
      <c r="C350" t="s">
        <v>41</v>
      </c>
      <c r="D350" t="s">
        <v>14</v>
      </c>
      <c r="E350" t="s">
        <v>34</v>
      </c>
      <c r="F350" t="s">
        <v>35</v>
      </c>
      <c r="G350">
        <v>3</v>
      </c>
      <c r="H350" t="s">
        <v>37</v>
      </c>
      <c r="I350" t="s">
        <v>25</v>
      </c>
      <c r="J350" t="s">
        <v>19</v>
      </c>
      <c r="K350" t="s">
        <v>27</v>
      </c>
      <c r="L350">
        <v>2937</v>
      </c>
      <c r="M350" t="s">
        <v>75</v>
      </c>
      <c r="N350">
        <v>2021</v>
      </c>
    </row>
    <row r="351" spans="1:14" x14ac:dyDescent="0.25">
      <c r="A351">
        <v>350</v>
      </c>
      <c r="B351">
        <v>44418</v>
      </c>
      <c r="C351" t="s">
        <v>21</v>
      </c>
      <c r="D351" t="s">
        <v>14</v>
      </c>
      <c r="E351" t="s">
        <v>22</v>
      </c>
      <c r="F351" t="s">
        <v>29</v>
      </c>
      <c r="G351">
        <v>0</v>
      </c>
      <c r="H351" t="s">
        <v>49</v>
      </c>
      <c r="I351" t="s">
        <v>18</v>
      </c>
      <c r="J351" t="s">
        <v>26</v>
      </c>
      <c r="K351" t="s">
        <v>31</v>
      </c>
      <c r="L351">
        <v>0</v>
      </c>
      <c r="M351" t="s">
        <v>75</v>
      </c>
      <c r="N351">
        <v>2021</v>
      </c>
    </row>
    <row r="352" spans="1:14" x14ac:dyDescent="0.25">
      <c r="A352">
        <v>351</v>
      </c>
      <c r="B352">
        <v>44420</v>
      </c>
      <c r="C352" t="s">
        <v>65</v>
      </c>
      <c r="D352" t="s">
        <v>14</v>
      </c>
      <c r="E352" t="s">
        <v>15</v>
      </c>
      <c r="F352" t="s">
        <v>35</v>
      </c>
      <c r="G352">
        <v>0</v>
      </c>
      <c r="H352" t="s">
        <v>37</v>
      </c>
      <c r="I352" t="s">
        <v>18</v>
      </c>
      <c r="J352" t="s">
        <v>46</v>
      </c>
      <c r="K352" t="s">
        <v>27</v>
      </c>
      <c r="L352">
        <v>0</v>
      </c>
      <c r="M352" t="s">
        <v>75</v>
      </c>
      <c r="N352">
        <v>2021</v>
      </c>
    </row>
    <row r="353" spans="1:14" x14ac:dyDescent="0.25">
      <c r="A353">
        <v>352</v>
      </c>
      <c r="B353">
        <v>44421</v>
      </c>
      <c r="C353" t="s">
        <v>64</v>
      </c>
      <c r="D353" t="s">
        <v>14</v>
      </c>
      <c r="E353" t="s">
        <v>15</v>
      </c>
      <c r="F353" t="s">
        <v>62</v>
      </c>
      <c r="G353">
        <v>0</v>
      </c>
      <c r="H353" t="s">
        <v>37</v>
      </c>
      <c r="I353" t="s">
        <v>39</v>
      </c>
      <c r="J353" t="s">
        <v>19</v>
      </c>
      <c r="K353" t="s">
        <v>40</v>
      </c>
      <c r="L353">
        <v>53</v>
      </c>
      <c r="M353" t="s">
        <v>75</v>
      </c>
      <c r="N353">
        <v>2021</v>
      </c>
    </row>
    <row r="354" spans="1:14" x14ac:dyDescent="0.25">
      <c r="A354">
        <v>353</v>
      </c>
      <c r="B354">
        <v>44424</v>
      </c>
      <c r="C354" t="s">
        <v>58</v>
      </c>
      <c r="D354" t="s">
        <v>14</v>
      </c>
      <c r="E354" t="s">
        <v>47</v>
      </c>
      <c r="F354" t="s">
        <v>23</v>
      </c>
      <c r="G354">
        <v>2</v>
      </c>
      <c r="H354" t="s">
        <v>49</v>
      </c>
      <c r="I354" t="s">
        <v>25</v>
      </c>
      <c r="J354" t="s">
        <v>26</v>
      </c>
      <c r="K354" t="s">
        <v>40</v>
      </c>
      <c r="L354">
        <v>4160</v>
      </c>
      <c r="M354" t="s">
        <v>75</v>
      </c>
      <c r="N354">
        <v>2021</v>
      </c>
    </row>
    <row r="355" spans="1:14" x14ac:dyDescent="0.25">
      <c r="A355">
        <v>354</v>
      </c>
      <c r="B355">
        <v>44426</v>
      </c>
      <c r="C355" t="s">
        <v>65</v>
      </c>
      <c r="D355" t="s">
        <v>14</v>
      </c>
      <c r="E355" t="s">
        <v>47</v>
      </c>
      <c r="F355" t="s">
        <v>29</v>
      </c>
      <c r="G355">
        <v>4.5</v>
      </c>
      <c r="H355" t="s">
        <v>30</v>
      </c>
      <c r="I355" t="s">
        <v>25</v>
      </c>
      <c r="J355" t="s">
        <v>46</v>
      </c>
      <c r="K355" t="s">
        <v>52</v>
      </c>
      <c r="L355">
        <v>2988</v>
      </c>
      <c r="M355" t="s">
        <v>75</v>
      </c>
      <c r="N355">
        <v>2021</v>
      </c>
    </row>
    <row r="356" spans="1:14" x14ac:dyDescent="0.25">
      <c r="A356">
        <v>355</v>
      </c>
      <c r="B356">
        <v>44427</v>
      </c>
      <c r="C356" t="s">
        <v>61</v>
      </c>
      <c r="D356" t="s">
        <v>33</v>
      </c>
      <c r="E356" t="s">
        <v>15</v>
      </c>
      <c r="F356" t="s">
        <v>63</v>
      </c>
      <c r="G356">
        <v>0</v>
      </c>
      <c r="H356" t="s">
        <v>55</v>
      </c>
      <c r="I356" t="s">
        <v>18</v>
      </c>
      <c r="J356" t="s">
        <v>26</v>
      </c>
      <c r="K356" t="s">
        <v>20</v>
      </c>
      <c r="L356">
        <v>0</v>
      </c>
      <c r="M356" t="s">
        <v>75</v>
      </c>
      <c r="N356">
        <v>2021</v>
      </c>
    </row>
    <row r="357" spans="1:14" x14ac:dyDescent="0.25">
      <c r="A357">
        <v>356</v>
      </c>
      <c r="B357">
        <v>44429</v>
      </c>
      <c r="C357" t="s">
        <v>64</v>
      </c>
      <c r="D357" t="s">
        <v>14</v>
      </c>
      <c r="E357" t="s">
        <v>47</v>
      </c>
      <c r="F357" t="s">
        <v>38</v>
      </c>
      <c r="G357">
        <v>3.5</v>
      </c>
      <c r="H357" t="s">
        <v>24</v>
      </c>
      <c r="I357" t="s">
        <v>25</v>
      </c>
      <c r="J357" t="s">
        <v>19</v>
      </c>
      <c r="K357" t="s">
        <v>20</v>
      </c>
      <c r="L357">
        <v>1155</v>
      </c>
      <c r="M357" t="s">
        <v>75</v>
      </c>
      <c r="N357">
        <v>2021</v>
      </c>
    </row>
    <row r="358" spans="1:14" x14ac:dyDescent="0.25">
      <c r="A358">
        <v>357</v>
      </c>
      <c r="B358">
        <v>44430</v>
      </c>
      <c r="C358" t="s">
        <v>32</v>
      </c>
      <c r="D358" t="s">
        <v>14</v>
      </c>
      <c r="E358" t="s">
        <v>47</v>
      </c>
      <c r="F358" t="s">
        <v>48</v>
      </c>
      <c r="G358">
        <v>0</v>
      </c>
      <c r="H358" t="s">
        <v>37</v>
      </c>
      <c r="I358" t="s">
        <v>18</v>
      </c>
      <c r="J358" t="s">
        <v>46</v>
      </c>
      <c r="K358" t="s">
        <v>59</v>
      </c>
      <c r="L358">
        <v>0</v>
      </c>
      <c r="M358" t="s">
        <v>75</v>
      </c>
      <c r="N358">
        <v>2021</v>
      </c>
    </row>
    <row r="359" spans="1:14" x14ac:dyDescent="0.25">
      <c r="A359">
        <v>358</v>
      </c>
      <c r="B359">
        <v>44430</v>
      </c>
      <c r="C359" t="s">
        <v>56</v>
      </c>
      <c r="D359" t="s">
        <v>14</v>
      </c>
      <c r="E359" t="s">
        <v>15</v>
      </c>
      <c r="F359" t="s">
        <v>23</v>
      </c>
      <c r="G359">
        <v>2</v>
      </c>
      <c r="H359" t="s">
        <v>60</v>
      </c>
      <c r="I359" t="s">
        <v>25</v>
      </c>
      <c r="J359" t="s">
        <v>26</v>
      </c>
      <c r="K359" t="s">
        <v>40</v>
      </c>
      <c r="L359">
        <v>1902</v>
      </c>
      <c r="M359" t="s">
        <v>75</v>
      </c>
      <c r="N359">
        <v>2021</v>
      </c>
    </row>
    <row r="360" spans="1:14" x14ac:dyDescent="0.25">
      <c r="A360">
        <v>359</v>
      </c>
      <c r="B360">
        <v>44430</v>
      </c>
      <c r="C360" t="s">
        <v>51</v>
      </c>
      <c r="D360" t="s">
        <v>14</v>
      </c>
      <c r="E360" t="s">
        <v>15</v>
      </c>
      <c r="F360" t="s">
        <v>23</v>
      </c>
      <c r="G360">
        <v>0</v>
      </c>
      <c r="H360" t="s">
        <v>60</v>
      </c>
      <c r="I360" t="s">
        <v>18</v>
      </c>
      <c r="J360" t="s">
        <v>19</v>
      </c>
      <c r="K360" t="s">
        <v>50</v>
      </c>
      <c r="L360">
        <v>0</v>
      </c>
      <c r="M360" t="s">
        <v>75</v>
      </c>
      <c r="N360">
        <v>2021</v>
      </c>
    </row>
    <row r="361" spans="1:14" x14ac:dyDescent="0.25">
      <c r="A361">
        <v>360</v>
      </c>
      <c r="B361">
        <v>44431</v>
      </c>
      <c r="C361" t="s">
        <v>28</v>
      </c>
      <c r="D361" t="s">
        <v>14</v>
      </c>
      <c r="E361" t="s">
        <v>15</v>
      </c>
      <c r="F361" t="s">
        <v>16</v>
      </c>
      <c r="G361">
        <v>2.5</v>
      </c>
      <c r="H361" t="s">
        <v>30</v>
      </c>
      <c r="I361" t="s">
        <v>25</v>
      </c>
      <c r="J361" t="s">
        <v>26</v>
      </c>
      <c r="K361" t="s">
        <v>40</v>
      </c>
      <c r="L361">
        <v>3817</v>
      </c>
      <c r="M361" t="s">
        <v>75</v>
      </c>
      <c r="N361">
        <v>2021</v>
      </c>
    </row>
    <row r="362" spans="1:14" x14ac:dyDescent="0.25">
      <c r="A362">
        <v>361</v>
      </c>
      <c r="B362">
        <v>44432</v>
      </c>
      <c r="C362" t="s">
        <v>61</v>
      </c>
      <c r="D362" t="s">
        <v>33</v>
      </c>
      <c r="E362" t="s">
        <v>22</v>
      </c>
      <c r="F362" t="s">
        <v>16</v>
      </c>
      <c r="G362">
        <v>0</v>
      </c>
      <c r="H362" t="s">
        <v>55</v>
      </c>
      <c r="I362" t="s">
        <v>18</v>
      </c>
      <c r="J362" t="s">
        <v>19</v>
      </c>
      <c r="K362" t="s">
        <v>50</v>
      </c>
      <c r="L362">
        <v>0</v>
      </c>
      <c r="M362" t="s">
        <v>75</v>
      </c>
      <c r="N362">
        <v>2021</v>
      </c>
    </row>
    <row r="363" spans="1:14" x14ac:dyDescent="0.25">
      <c r="A363">
        <v>362</v>
      </c>
      <c r="B363">
        <v>44437</v>
      </c>
      <c r="C363" t="s">
        <v>13</v>
      </c>
      <c r="D363" t="s">
        <v>14</v>
      </c>
      <c r="E363" t="s">
        <v>47</v>
      </c>
      <c r="F363" t="s">
        <v>36</v>
      </c>
      <c r="G363">
        <v>0</v>
      </c>
      <c r="H363" t="s">
        <v>30</v>
      </c>
      <c r="I363" t="s">
        <v>18</v>
      </c>
      <c r="J363" t="s">
        <v>19</v>
      </c>
      <c r="K363" t="s">
        <v>59</v>
      </c>
      <c r="L363">
        <v>0</v>
      </c>
      <c r="M363" t="s">
        <v>75</v>
      </c>
      <c r="N363">
        <v>2021</v>
      </c>
    </row>
    <row r="364" spans="1:14" x14ac:dyDescent="0.25">
      <c r="A364">
        <v>363</v>
      </c>
      <c r="B364">
        <v>44437</v>
      </c>
      <c r="C364" t="s">
        <v>13</v>
      </c>
      <c r="D364" t="s">
        <v>14</v>
      </c>
      <c r="E364" t="s">
        <v>47</v>
      </c>
      <c r="F364" t="s">
        <v>62</v>
      </c>
      <c r="G364">
        <v>0</v>
      </c>
      <c r="H364" t="s">
        <v>60</v>
      </c>
      <c r="I364" t="s">
        <v>39</v>
      </c>
      <c r="J364" t="s">
        <v>19</v>
      </c>
      <c r="K364" t="s">
        <v>54</v>
      </c>
      <c r="L364">
        <v>302</v>
      </c>
      <c r="M364" t="s">
        <v>75</v>
      </c>
      <c r="N364">
        <v>2021</v>
      </c>
    </row>
    <row r="365" spans="1:14" x14ac:dyDescent="0.25">
      <c r="A365">
        <v>364</v>
      </c>
      <c r="B365">
        <v>44440</v>
      </c>
      <c r="C365" t="s">
        <v>51</v>
      </c>
      <c r="D365" t="s">
        <v>14</v>
      </c>
      <c r="E365" t="s">
        <v>34</v>
      </c>
      <c r="F365" t="s">
        <v>29</v>
      </c>
      <c r="G365">
        <v>0</v>
      </c>
      <c r="H365" t="s">
        <v>37</v>
      </c>
      <c r="I365" t="s">
        <v>39</v>
      </c>
      <c r="J365" t="s">
        <v>26</v>
      </c>
      <c r="K365" t="s">
        <v>40</v>
      </c>
      <c r="L365">
        <v>95</v>
      </c>
      <c r="M365" t="s">
        <v>76</v>
      </c>
      <c r="N365">
        <v>2021</v>
      </c>
    </row>
    <row r="366" spans="1:14" x14ac:dyDescent="0.25">
      <c r="A366">
        <v>365</v>
      </c>
      <c r="B366">
        <v>44442</v>
      </c>
      <c r="C366" t="s">
        <v>28</v>
      </c>
      <c r="D366" t="s">
        <v>14</v>
      </c>
      <c r="E366" t="s">
        <v>15</v>
      </c>
      <c r="F366" t="s">
        <v>29</v>
      </c>
      <c r="G366">
        <v>0</v>
      </c>
      <c r="H366" t="s">
        <v>30</v>
      </c>
      <c r="I366" t="s">
        <v>53</v>
      </c>
      <c r="J366" t="s">
        <v>19</v>
      </c>
      <c r="K366" t="s">
        <v>52</v>
      </c>
      <c r="L366">
        <v>4834</v>
      </c>
      <c r="M366" t="s">
        <v>76</v>
      </c>
      <c r="N366">
        <v>2021</v>
      </c>
    </row>
    <row r="367" spans="1:14" x14ac:dyDescent="0.25">
      <c r="A367">
        <v>366</v>
      </c>
      <c r="B367">
        <v>44442</v>
      </c>
      <c r="C367" t="s">
        <v>13</v>
      </c>
      <c r="D367" t="s">
        <v>14</v>
      </c>
      <c r="E367" t="s">
        <v>34</v>
      </c>
      <c r="F367" t="s">
        <v>35</v>
      </c>
      <c r="G367">
        <v>0</v>
      </c>
      <c r="H367" t="s">
        <v>17</v>
      </c>
      <c r="I367" t="s">
        <v>18</v>
      </c>
      <c r="J367" t="s">
        <v>26</v>
      </c>
      <c r="K367" t="s">
        <v>27</v>
      </c>
      <c r="L367">
        <v>0</v>
      </c>
      <c r="M367" t="s">
        <v>76</v>
      </c>
      <c r="N367">
        <v>2021</v>
      </c>
    </row>
    <row r="368" spans="1:14" x14ac:dyDescent="0.25">
      <c r="A368">
        <v>367</v>
      </c>
      <c r="B368">
        <v>44445</v>
      </c>
      <c r="C368" t="s">
        <v>32</v>
      </c>
      <c r="D368" t="s">
        <v>33</v>
      </c>
      <c r="E368" t="s">
        <v>47</v>
      </c>
      <c r="F368" t="s">
        <v>35</v>
      </c>
      <c r="G368">
        <v>0</v>
      </c>
      <c r="H368" t="s">
        <v>55</v>
      </c>
      <c r="I368" t="s">
        <v>53</v>
      </c>
      <c r="J368" t="s">
        <v>26</v>
      </c>
      <c r="K368" t="s">
        <v>54</v>
      </c>
      <c r="L368">
        <v>1433</v>
      </c>
      <c r="M368" t="s">
        <v>76</v>
      </c>
      <c r="N368">
        <v>2021</v>
      </c>
    </row>
    <row r="369" spans="1:14" x14ac:dyDescent="0.25">
      <c r="A369">
        <v>368</v>
      </c>
      <c r="B369">
        <v>44449</v>
      </c>
      <c r="C369" t="s">
        <v>44</v>
      </c>
      <c r="D369" t="s">
        <v>14</v>
      </c>
      <c r="E369" t="s">
        <v>34</v>
      </c>
      <c r="F369" t="s">
        <v>35</v>
      </c>
      <c r="G369">
        <v>0</v>
      </c>
      <c r="H369" t="s">
        <v>60</v>
      </c>
      <c r="I369" t="s">
        <v>18</v>
      </c>
      <c r="J369" t="s">
        <v>26</v>
      </c>
      <c r="K369" t="s">
        <v>50</v>
      </c>
      <c r="L369">
        <v>0</v>
      </c>
      <c r="M369" t="s">
        <v>76</v>
      </c>
      <c r="N369">
        <v>2021</v>
      </c>
    </row>
    <row r="370" spans="1:14" x14ac:dyDescent="0.25">
      <c r="A370">
        <v>369</v>
      </c>
      <c r="B370">
        <v>44450</v>
      </c>
      <c r="C370" t="s">
        <v>56</v>
      </c>
      <c r="D370" t="s">
        <v>14</v>
      </c>
      <c r="E370" t="s">
        <v>47</v>
      </c>
      <c r="F370" t="s">
        <v>16</v>
      </c>
      <c r="G370">
        <v>0</v>
      </c>
      <c r="H370" t="s">
        <v>57</v>
      </c>
      <c r="I370" t="s">
        <v>39</v>
      </c>
      <c r="J370" t="s">
        <v>19</v>
      </c>
      <c r="K370" t="s">
        <v>54</v>
      </c>
      <c r="L370">
        <v>159</v>
      </c>
      <c r="M370" t="s">
        <v>76</v>
      </c>
      <c r="N370">
        <v>2021</v>
      </c>
    </row>
    <row r="371" spans="1:14" x14ac:dyDescent="0.25">
      <c r="A371">
        <v>370</v>
      </c>
      <c r="B371">
        <v>44454</v>
      </c>
      <c r="C371" t="s">
        <v>28</v>
      </c>
      <c r="D371" t="s">
        <v>14</v>
      </c>
      <c r="E371" t="s">
        <v>47</v>
      </c>
      <c r="F371" t="s">
        <v>62</v>
      </c>
      <c r="G371">
        <v>0</v>
      </c>
      <c r="H371" t="s">
        <v>60</v>
      </c>
      <c r="I371" t="s">
        <v>18</v>
      </c>
      <c r="J371" t="s">
        <v>46</v>
      </c>
      <c r="K371" t="s">
        <v>40</v>
      </c>
      <c r="L371">
        <v>0</v>
      </c>
      <c r="M371" t="s">
        <v>76</v>
      </c>
      <c r="N371">
        <v>2021</v>
      </c>
    </row>
    <row r="372" spans="1:14" x14ac:dyDescent="0.25">
      <c r="A372">
        <v>371</v>
      </c>
      <c r="B372">
        <v>44456</v>
      </c>
      <c r="C372" t="s">
        <v>32</v>
      </c>
      <c r="D372" t="s">
        <v>14</v>
      </c>
      <c r="E372" t="s">
        <v>34</v>
      </c>
      <c r="F372" t="s">
        <v>38</v>
      </c>
      <c r="G372">
        <v>4</v>
      </c>
      <c r="H372" t="s">
        <v>30</v>
      </c>
      <c r="I372" t="s">
        <v>25</v>
      </c>
      <c r="J372" t="s">
        <v>46</v>
      </c>
      <c r="K372" t="s">
        <v>43</v>
      </c>
      <c r="L372">
        <v>4771</v>
      </c>
      <c r="M372" t="s">
        <v>76</v>
      </c>
      <c r="N372">
        <v>2021</v>
      </c>
    </row>
    <row r="373" spans="1:14" x14ac:dyDescent="0.25">
      <c r="A373">
        <v>372</v>
      </c>
      <c r="B373">
        <v>44457</v>
      </c>
      <c r="C373" t="s">
        <v>65</v>
      </c>
      <c r="D373" t="s">
        <v>14</v>
      </c>
      <c r="E373" t="s">
        <v>34</v>
      </c>
      <c r="F373" t="s">
        <v>63</v>
      </c>
      <c r="G373">
        <v>3.5</v>
      </c>
      <c r="H373" t="s">
        <v>30</v>
      </c>
      <c r="I373" t="s">
        <v>25</v>
      </c>
      <c r="J373" t="s">
        <v>26</v>
      </c>
      <c r="K373" t="s">
        <v>52</v>
      </c>
      <c r="L373">
        <v>3378</v>
      </c>
      <c r="M373" t="s">
        <v>76</v>
      </c>
      <c r="N373">
        <v>2021</v>
      </c>
    </row>
    <row r="374" spans="1:14" x14ac:dyDescent="0.25">
      <c r="A374">
        <v>373</v>
      </c>
      <c r="B374">
        <v>44458</v>
      </c>
      <c r="C374" t="s">
        <v>61</v>
      </c>
      <c r="D374" t="s">
        <v>14</v>
      </c>
      <c r="E374" t="s">
        <v>15</v>
      </c>
      <c r="F374" t="s">
        <v>36</v>
      </c>
      <c r="G374">
        <v>0</v>
      </c>
      <c r="H374" t="s">
        <v>30</v>
      </c>
      <c r="I374" t="s">
        <v>53</v>
      </c>
      <c r="J374" t="s">
        <v>26</v>
      </c>
      <c r="K374" t="s">
        <v>52</v>
      </c>
      <c r="L374">
        <v>3713</v>
      </c>
      <c r="M374" t="s">
        <v>76</v>
      </c>
      <c r="N374">
        <v>2021</v>
      </c>
    </row>
    <row r="375" spans="1:14" x14ac:dyDescent="0.25">
      <c r="A375">
        <v>374</v>
      </c>
      <c r="B375">
        <v>44459</v>
      </c>
      <c r="C375" t="s">
        <v>64</v>
      </c>
      <c r="D375" t="s">
        <v>14</v>
      </c>
      <c r="E375" t="s">
        <v>47</v>
      </c>
      <c r="F375" t="s">
        <v>35</v>
      </c>
      <c r="G375">
        <v>0</v>
      </c>
      <c r="H375" t="s">
        <v>49</v>
      </c>
      <c r="I375" t="s">
        <v>18</v>
      </c>
      <c r="J375" t="s">
        <v>46</v>
      </c>
      <c r="K375" t="s">
        <v>52</v>
      </c>
      <c r="L375">
        <v>0</v>
      </c>
      <c r="M375" t="s">
        <v>76</v>
      </c>
      <c r="N375">
        <v>2021</v>
      </c>
    </row>
    <row r="376" spans="1:14" x14ac:dyDescent="0.25">
      <c r="A376">
        <v>375</v>
      </c>
      <c r="B376">
        <v>44463</v>
      </c>
      <c r="C376" t="s">
        <v>64</v>
      </c>
      <c r="D376" t="s">
        <v>14</v>
      </c>
      <c r="E376" t="s">
        <v>15</v>
      </c>
      <c r="F376" t="s">
        <v>29</v>
      </c>
      <c r="G376">
        <v>0</v>
      </c>
      <c r="H376" t="s">
        <v>55</v>
      </c>
      <c r="I376" t="s">
        <v>53</v>
      </c>
      <c r="J376" t="s">
        <v>26</v>
      </c>
      <c r="K376" t="s">
        <v>52</v>
      </c>
      <c r="L376">
        <v>4994</v>
      </c>
      <c r="M376" t="s">
        <v>76</v>
      </c>
      <c r="N376">
        <v>2021</v>
      </c>
    </row>
    <row r="377" spans="1:14" x14ac:dyDescent="0.25">
      <c r="A377">
        <v>376</v>
      </c>
      <c r="B377">
        <v>44467</v>
      </c>
      <c r="C377" t="s">
        <v>58</v>
      </c>
      <c r="D377" t="s">
        <v>33</v>
      </c>
      <c r="E377" t="s">
        <v>34</v>
      </c>
      <c r="F377" t="s">
        <v>29</v>
      </c>
      <c r="G377">
        <v>0</v>
      </c>
      <c r="H377" t="s">
        <v>45</v>
      </c>
      <c r="I377" t="s">
        <v>39</v>
      </c>
      <c r="J377" t="s">
        <v>46</v>
      </c>
      <c r="K377" t="s">
        <v>43</v>
      </c>
      <c r="L377">
        <v>238</v>
      </c>
      <c r="M377" t="s">
        <v>76</v>
      </c>
      <c r="N377">
        <v>2021</v>
      </c>
    </row>
    <row r="378" spans="1:14" x14ac:dyDescent="0.25">
      <c r="A378">
        <v>377</v>
      </c>
      <c r="B378">
        <v>44468</v>
      </c>
      <c r="C378" t="s">
        <v>32</v>
      </c>
      <c r="D378" t="s">
        <v>14</v>
      </c>
      <c r="E378" t="s">
        <v>15</v>
      </c>
      <c r="F378" t="s">
        <v>23</v>
      </c>
      <c r="G378">
        <v>0</v>
      </c>
      <c r="H378" t="s">
        <v>30</v>
      </c>
      <c r="I378" t="s">
        <v>39</v>
      </c>
      <c r="J378" t="s">
        <v>19</v>
      </c>
      <c r="K378" t="s">
        <v>43</v>
      </c>
      <c r="L378">
        <v>209</v>
      </c>
      <c r="M378" t="s">
        <v>76</v>
      </c>
      <c r="N378">
        <v>2021</v>
      </c>
    </row>
    <row r="379" spans="1:14" x14ac:dyDescent="0.25">
      <c r="A379">
        <v>378</v>
      </c>
      <c r="B379">
        <v>44470</v>
      </c>
      <c r="C379" t="s">
        <v>65</v>
      </c>
      <c r="D379" t="s">
        <v>14</v>
      </c>
      <c r="E379" t="s">
        <v>47</v>
      </c>
      <c r="F379" t="s">
        <v>35</v>
      </c>
      <c r="G379">
        <v>0</v>
      </c>
      <c r="H379" t="s">
        <v>24</v>
      </c>
      <c r="I379" t="s">
        <v>53</v>
      </c>
      <c r="J379" t="s">
        <v>19</v>
      </c>
      <c r="K379" t="s">
        <v>20</v>
      </c>
      <c r="L379">
        <v>2120</v>
      </c>
      <c r="M379" t="s">
        <v>77</v>
      </c>
      <c r="N379">
        <v>2021</v>
      </c>
    </row>
    <row r="380" spans="1:14" x14ac:dyDescent="0.25">
      <c r="A380">
        <v>379</v>
      </c>
      <c r="B380">
        <v>44470</v>
      </c>
      <c r="C380" t="s">
        <v>13</v>
      </c>
      <c r="D380" t="s">
        <v>33</v>
      </c>
      <c r="E380" t="s">
        <v>47</v>
      </c>
      <c r="F380" t="s">
        <v>23</v>
      </c>
      <c r="G380">
        <v>0</v>
      </c>
      <c r="H380" t="s">
        <v>57</v>
      </c>
      <c r="I380" t="s">
        <v>18</v>
      </c>
      <c r="J380" t="s">
        <v>19</v>
      </c>
      <c r="K380" t="s">
        <v>20</v>
      </c>
      <c r="L380">
        <v>0</v>
      </c>
      <c r="M380" t="s">
        <v>77</v>
      </c>
      <c r="N380">
        <v>2021</v>
      </c>
    </row>
    <row r="381" spans="1:14" x14ac:dyDescent="0.25">
      <c r="A381">
        <v>380</v>
      </c>
      <c r="B381">
        <v>44474</v>
      </c>
      <c r="C381" t="s">
        <v>44</v>
      </c>
      <c r="D381" t="s">
        <v>14</v>
      </c>
      <c r="E381" t="s">
        <v>47</v>
      </c>
      <c r="F381" t="s">
        <v>23</v>
      </c>
      <c r="G381">
        <v>1</v>
      </c>
      <c r="H381" t="s">
        <v>49</v>
      </c>
      <c r="I381" t="s">
        <v>25</v>
      </c>
      <c r="J381" t="s">
        <v>26</v>
      </c>
      <c r="K381" t="s">
        <v>27</v>
      </c>
      <c r="L381">
        <v>2245</v>
      </c>
      <c r="M381" t="s">
        <v>77</v>
      </c>
      <c r="N381">
        <v>2021</v>
      </c>
    </row>
    <row r="382" spans="1:14" x14ac:dyDescent="0.25">
      <c r="A382">
        <v>381</v>
      </c>
      <c r="B382">
        <v>44479</v>
      </c>
      <c r="C382" t="s">
        <v>61</v>
      </c>
      <c r="D382" t="s">
        <v>14</v>
      </c>
      <c r="E382" t="s">
        <v>47</v>
      </c>
      <c r="F382" t="s">
        <v>38</v>
      </c>
      <c r="G382">
        <v>0</v>
      </c>
      <c r="H382" t="s">
        <v>45</v>
      </c>
      <c r="I382" t="s">
        <v>39</v>
      </c>
      <c r="J382" t="s">
        <v>19</v>
      </c>
      <c r="K382" t="s">
        <v>43</v>
      </c>
      <c r="L382">
        <v>118</v>
      </c>
      <c r="M382" t="s">
        <v>77</v>
      </c>
      <c r="N382">
        <v>2021</v>
      </c>
    </row>
    <row r="383" spans="1:14" x14ac:dyDescent="0.25">
      <c r="A383">
        <v>382</v>
      </c>
      <c r="B383">
        <v>44482</v>
      </c>
      <c r="C383" t="s">
        <v>44</v>
      </c>
      <c r="D383" t="s">
        <v>14</v>
      </c>
      <c r="E383" t="s">
        <v>22</v>
      </c>
      <c r="F383" t="s">
        <v>35</v>
      </c>
      <c r="G383">
        <v>0</v>
      </c>
      <c r="H383" t="s">
        <v>49</v>
      </c>
      <c r="I383" t="s">
        <v>53</v>
      </c>
      <c r="J383" t="s">
        <v>19</v>
      </c>
      <c r="K383" t="s">
        <v>59</v>
      </c>
      <c r="L383">
        <v>534</v>
      </c>
      <c r="M383" t="s">
        <v>77</v>
      </c>
      <c r="N383">
        <v>2021</v>
      </c>
    </row>
    <row r="384" spans="1:14" x14ac:dyDescent="0.25">
      <c r="A384">
        <v>383</v>
      </c>
      <c r="B384">
        <v>44483</v>
      </c>
      <c r="C384" t="s">
        <v>58</v>
      </c>
      <c r="D384" t="s">
        <v>14</v>
      </c>
      <c r="E384" t="s">
        <v>15</v>
      </c>
      <c r="F384" t="s">
        <v>36</v>
      </c>
      <c r="G384">
        <v>0</v>
      </c>
      <c r="H384" t="s">
        <v>57</v>
      </c>
      <c r="I384" t="s">
        <v>18</v>
      </c>
      <c r="J384" t="s">
        <v>19</v>
      </c>
      <c r="K384" t="s">
        <v>59</v>
      </c>
      <c r="L384">
        <v>0</v>
      </c>
      <c r="M384" t="s">
        <v>77</v>
      </c>
      <c r="N384">
        <v>2021</v>
      </c>
    </row>
    <row r="385" spans="1:14" x14ac:dyDescent="0.25">
      <c r="A385">
        <v>384</v>
      </c>
      <c r="B385">
        <v>44483</v>
      </c>
      <c r="C385" t="s">
        <v>13</v>
      </c>
      <c r="D385" t="s">
        <v>14</v>
      </c>
      <c r="E385" t="s">
        <v>34</v>
      </c>
      <c r="F385" t="s">
        <v>38</v>
      </c>
      <c r="G385">
        <v>0</v>
      </c>
      <c r="H385" t="s">
        <v>55</v>
      </c>
      <c r="I385" t="s">
        <v>39</v>
      </c>
      <c r="J385" t="s">
        <v>26</v>
      </c>
      <c r="K385" t="s">
        <v>59</v>
      </c>
      <c r="L385">
        <v>420</v>
      </c>
      <c r="M385" t="s">
        <v>77</v>
      </c>
      <c r="N385">
        <v>2021</v>
      </c>
    </row>
    <row r="386" spans="1:14" x14ac:dyDescent="0.25">
      <c r="A386">
        <v>385</v>
      </c>
      <c r="B386">
        <v>44484</v>
      </c>
      <c r="C386" t="s">
        <v>21</v>
      </c>
      <c r="D386" t="s">
        <v>33</v>
      </c>
      <c r="E386" t="s">
        <v>34</v>
      </c>
      <c r="F386" t="s">
        <v>62</v>
      </c>
      <c r="G386">
        <v>4</v>
      </c>
      <c r="H386" t="s">
        <v>55</v>
      </c>
      <c r="I386" t="s">
        <v>25</v>
      </c>
      <c r="J386" t="s">
        <v>19</v>
      </c>
      <c r="K386" t="s">
        <v>20</v>
      </c>
      <c r="L386">
        <v>2622</v>
      </c>
      <c r="M386" t="s">
        <v>77</v>
      </c>
      <c r="N386">
        <v>2021</v>
      </c>
    </row>
    <row r="387" spans="1:14" x14ac:dyDescent="0.25">
      <c r="A387">
        <v>386</v>
      </c>
      <c r="B387">
        <v>44485</v>
      </c>
      <c r="C387" t="s">
        <v>65</v>
      </c>
      <c r="D387" t="s">
        <v>14</v>
      </c>
      <c r="E387" t="s">
        <v>34</v>
      </c>
      <c r="F387" t="s">
        <v>23</v>
      </c>
      <c r="G387">
        <v>3.5</v>
      </c>
      <c r="H387" t="s">
        <v>45</v>
      </c>
      <c r="I387" t="s">
        <v>25</v>
      </c>
      <c r="J387" t="s">
        <v>26</v>
      </c>
      <c r="K387" t="s">
        <v>59</v>
      </c>
      <c r="L387">
        <v>1213</v>
      </c>
      <c r="M387" t="s">
        <v>77</v>
      </c>
      <c r="N387">
        <v>2021</v>
      </c>
    </row>
    <row r="388" spans="1:14" x14ac:dyDescent="0.25">
      <c r="A388">
        <v>387</v>
      </c>
      <c r="B388">
        <v>44486</v>
      </c>
      <c r="C388" t="s">
        <v>32</v>
      </c>
      <c r="D388" t="s">
        <v>14</v>
      </c>
      <c r="E388" t="s">
        <v>15</v>
      </c>
      <c r="F388" t="s">
        <v>29</v>
      </c>
      <c r="G388">
        <v>0</v>
      </c>
      <c r="H388" t="s">
        <v>57</v>
      </c>
      <c r="I388" t="s">
        <v>18</v>
      </c>
      <c r="J388" t="s">
        <v>19</v>
      </c>
      <c r="K388" t="s">
        <v>40</v>
      </c>
      <c r="L388">
        <v>0</v>
      </c>
      <c r="M388" t="s">
        <v>77</v>
      </c>
      <c r="N388">
        <v>2021</v>
      </c>
    </row>
    <row r="389" spans="1:14" x14ac:dyDescent="0.25">
      <c r="A389">
        <v>388</v>
      </c>
      <c r="B389">
        <v>44488</v>
      </c>
      <c r="C389" t="s">
        <v>32</v>
      </c>
      <c r="D389" t="s">
        <v>14</v>
      </c>
      <c r="E389" t="s">
        <v>34</v>
      </c>
      <c r="F389" t="s">
        <v>48</v>
      </c>
      <c r="G389">
        <v>0</v>
      </c>
      <c r="H389" t="s">
        <v>57</v>
      </c>
      <c r="I389" t="s">
        <v>39</v>
      </c>
      <c r="J389" t="s">
        <v>26</v>
      </c>
      <c r="K389" t="s">
        <v>40</v>
      </c>
      <c r="L389">
        <v>65</v>
      </c>
      <c r="M389" t="s">
        <v>77</v>
      </c>
      <c r="N389">
        <v>2021</v>
      </c>
    </row>
    <row r="390" spans="1:14" x14ac:dyDescent="0.25">
      <c r="A390">
        <v>389</v>
      </c>
      <c r="B390">
        <v>44488</v>
      </c>
      <c r="C390" t="s">
        <v>32</v>
      </c>
      <c r="D390" t="s">
        <v>14</v>
      </c>
      <c r="E390" t="s">
        <v>15</v>
      </c>
      <c r="F390" t="s">
        <v>29</v>
      </c>
      <c r="G390">
        <v>0</v>
      </c>
      <c r="H390" t="s">
        <v>57</v>
      </c>
      <c r="I390" t="s">
        <v>53</v>
      </c>
      <c r="J390" t="s">
        <v>46</v>
      </c>
      <c r="K390" t="s">
        <v>52</v>
      </c>
      <c r="L390">
        <v>2860</v>
      </c>
      <c r="M390" t="s">
        <v>77</v>
      </c>
      <c r="N390">
        <v>2021</v>
      </c>
    </row>
    <row r="391" spans="1:14" x14ac:dyDescent="0.25">
      <c r="A391">
        <v>390</v>
      </c>
      <c r="B391">
        <v>44492</v>
      </c>
      <c r="C391" t="s">
        <v>41</v>
      </c>
      <c r="D391" t="s">
        <v>14</v>
      </c>
      <c r="E391" t="s">
        <v>34</v>
      </c>
      <c r="F391" t="s">
        <v>36</v>
      </c>
      <c r="G391">
        <v>0</v>
      </c>
      <c r="H391" t="s">
        <v>17</v>
      </c>
      <c r="I391" t="s">
        <v>39</v>
      </c>
      <c r="J391" t="s">
        <v>26</v>
      </c>
      <c r="K391" t="s">
        <v>52</v>
      </c>
      <c r="L391">
        <v>129</v>
      </c>
      <c r="M391" t="s">
        <v>77</v>
      </c>
      <c r="N391">
        <v>2021</v>
      </c>
    </row>
    <row r="392" spans="1:14" x14ac:dyDescent="0.25">
      <c r="A392">
        <v>391</v>
      </c>
      <c r="B392">
        <v>44492</v>
      </c>
      <c r="C392" t="s">
        <v>44</v>
      </c>
      <c r="D392" t="s">
        <v>14</v>
      </c>
      <c r="E392" t="s">
        <v>34</v>
      </c>
      <c r="F392" t="s">
        <v>36</v>
      </c>
      <c r="G392">
        <v>0</v>
      </c>
      <c r="H392" t="s">
        <v>55</v>
      </c>
      <c r="I392" t="s">
        <v>53</v>
      </c>
      <c r="J392" t="s">
        <v>26</v>
      </c>
      <c r="K392" t="s">
        <v>54</v>
      </c>
      <c r="L392">
        <v>4698</v>
      </c>
      <c r="M392" t="s">
        <v>77</v>
      </c>
      <c r="N392">
        <v>2021</v>
      </c>
    </row>
    <row r="393" spans="1:14" x14ac:dyDescent="0.25">
      <c r="A393">
        <v>392</v>
      </c>
      <c r="B393">
        <v>44495</v>
      </c>
      <c r="C393" t="s">
        <v>13</v>
      </c>
      <c r="D393" t="s">
        <v>14</v>
      </c>
      <c r="E393" t="s">
        <v>34</v>
      </c>
      <c r="F393" t="s">
        <v>48</v>
      </c>
      <c r="G393">
        <v>0</v>
      </c>
      <c r="H393" t="s">
        <v>45</v>
      </c>
      <c r="I393" t="s">
        <v>18</v>
      </c>
      <c r="J393" t="s">
        <v>26</v>
      </c>
      <c r="K393" t="s">
        <v>52</v>
      </c>
      <c r="L393">
        <v>0</v>
      </c>
      <c r="M393" t="s">
        <v>77</v>
      </c>
      <c r="N393">
        <v>2021</v>
      </c>
    </row>
    <row r="394" spans="1:14" x14ac:dyDescent="0.25">
      <c r="A394">
        <v>393</v>
      </c>
      <c r="B394">
        <v>44497</v>
      </c>
      <c r="C394" t="s">
        <v>65</v>
      </c>
      <c r="D394" t="s">
        <v>14</v>
      </c>
      <c r="E394" t="s">
        <v>34</v>
      </c>
      <c r="F394" t="s">
        <v>36</v>
      </c>
      <c r="G394">
        <v>0</v>
      </c>
      <c r="H394" t="s">
        <v>60</v>
      </c>
      <c r="I394" t="s">
        <v>39</v>
      </c>
      <c r="J394" t="s">
        <v>26</v>
      </c>
      <c r="K394" t="s">
        <v>40</v>
      </c>
      <c r="L394">
        <v>36</v>
      </c>
      <c r="M394" t="s">
        <v>77</v>
      </c>
      <c r="N394">
        <v>2021</v>
      </c>
    </row>
    <row r="395" spans="1:14" x14ac:dyDescent="0.25">
      <c r="A395">
        <v>394</v>
      </c>
      <c r="B395">
        <v>44499</v>
      </c>
      <c r="C395" t="s">
        <v>61</v>
      </c>
      <c r="D395" t="s">
        <v>14</v>
      </c>
      <c r="E395" t="s">
        <v>47</v>
      </c>
      <c r="F395" t="s">
        <v>29</v>
      </c>
      <c r="G395">
        <v>0</v>
      </c>
      <c r="H395" t="s">
        <v>60</v>
      </c>
      <c r="I395" t="s">
        <v>18</v>
      </c>
      <c r="J395" t="s">
        <v>26</v>
      </c>
      <c r="K395" t="s">
        <v>52</v>
      </c>
      <c r="L395">
        <v>0</v>
      </c>
      <c r="M395" t="s">
        <v>77</v>
      </c>
      <c r="N395">
        <v>2021</v>
      </c>
    </row>
    <row r="396" spans="1:14" x14ac:dyDescent="0.25">
      <c r="A396">
        <v>395</v>
      </c>
      <c r="B396">
        <v>44502</v>
      </c>
      <c r="C396" t="s">
        <v>64</v>
      </c>
      <c r="D396" t="s">
        <v>14</v>
      </c>
      <c r="E396" t="s">
        <v>34</v>
      </c>
      <c r="F396" t="s">
        <v>29</v>
      </c>
      <c r="G396">
        <v>0</v>
      </c>
      <c r="H396" t="s">
        <v>49</v>
      </c>
      <c r="I396" t="s">
        <v>18</v>
      </c>
      <c r="J396" t="s">
        <v>26</v>
      </c>
      <c r="K396" t="s">
        <v>52</v>
      </c>
      <c r="L396">
        <v>0</v>
      </c>
      <c r="M396" t="s">
        <v>78</v>
      </c>
      <c r="N396">
        <v>2021</v>
      </c>
    </row>
    <row r="397" spans="1:14" x14ac:dyDescent="0.25">
      <c r="A397">
        <v>396</v>
      </c>
      <c r="B397">
        <v>44506</v>
      </c>
      <c r="C397" t="s">
        <v>41</v>
      </c>
      <c r="D397" t="s">
        <v>14</v>
      </c>
      <c r="E397" t="s">
        <v>34</v>
      </c>
      <c r="F397" t="s">
        <v>29</v>
      </c>
      <c r="G397">
        <v>0</v>
      </c>
      <c r="H397" t="s">
        <v>45</v>
      </c>
      <c r="I397" t="s">
        <v>53</v>
      </c>
      <c r="J397" t="s">
        <v>46</v>
      </c>
      <c r="K397" t="s">
        <v>52</v>
      </c>
      <c r="L397">
        <v>1585</v>
      </c>
      <c r="M397" t="s">
        <v>78</v>
      </c>
      <c r="N397">
        <v>2021</v>
      </c>
    </row>
    <row r="398" spans="1:14" x14ac:dyDescent="0.25">
      <c r="A398">
        <v>397</v>
      </c>
      <c r="B398">
        <v>44509</v>
      </c>
      <c r="C398" t="s">
        <v>58</v>
      </c>
      <c r="D398" t="s">
        <v>14</v>
      </c>
      <c r="E398" t="s">
        <v>47</v>
      </c>
      <c r="F398" t="s">
        <v>63</v>
      </c>
      <c r="G398">
        <v>3</v>
      </c>
      <c r="H398" t="s">
        <v>17</v>
      </c>
      <c r="I398" t="s">
        <v>25</v>
      </c>
      <c r="J398" t="s">
        <v>46</v>
      </c>
      <c r="K398" t="s">
        <v>59</v>
      </c>
      <c r="L398">
        <v>2015</v>
      </c>
      <c r="M398" t="s">
        <v>78</v>
      </c>
      <c r="N398">
        <v>2021</v>
      </c>
    </row>
    <row r="399" spans="1:14" x14ac:dyDescent="0.25">
      <c r="A399">
        <v>398</v>
      </c>
      <c r="B399">
        <v>44510</v>
      </c>
      <c r="C399" t="s">
        <v>44</v>
      </c>
      <c r="D399" t="s">
        <v>14</v>
      </c>
      <c r="E399" t="s">
        <v>15</v>
      </c>
      <c r="F399" t="s">
        <v>62</v>
      </c>
      <c r="G399">
        <v>4</v>
      </c>
      <c r="H399" t="s">
        <v>45</v>
      </c>
      <c r="I399" t="s">
        <v>25</v>
      </c>
      <c r="J399" t="s">
        <v>26</v>
      </c>
      <c r="K399" t="s">
        <v>31</v>
      </c>
      <c r="L399">
        <v>1793</v>
      </c>
      <c r="M399" t="s">
        <v>78</v>
      </c>
      <c r="N399">
        <v>2021</v>
      </c>
    </row>
    <row r="400" spans="1:14" x14ac:dyDescent="0.25">
      <c r="A400">
        <v>399</v>
      </c>
      <c r="B400">
        <v>44512</v>
      </c>
      <c r="C400" t="s">
        <v>61</v>
      </c>
      <c r="D400" t="s">
        <v>14</v>
      </c>
      <c r="E400" t="s">
        <v>22</v>
      </c>
      <c r="F400" t="s">
        <v>23</v>
      </c>
      <c r="G400">
        <v>2.5</v>
      </c>
      <c r="H400" t="s">
        <v>60</v>
      </c>
      <c r="I400" t="s">
        <v>25</v>
      </c>
      <c r="J400" t="s">
        <v>19</v>
      </c>
      <c r="K400" t="s">
        <v>59</v>
      </c>
      <c r="L400">
        <v>807</v>
      </c>
      <c r="M400" t="s">
        <v>78</v>
      </c>
      <c r="N400">
        <v>2021</v>
      </c>
    </row>
    <row r="401" spans="1:14" x14ac:dyDescent="0.25">
      <c r="A401">
        <v>400</v>
      </c>
      <c r="B401">
        <v>44514</v>
      </c>
      <c r="C401" t="s">
        <v>58</v>
      </c>
      <c r="D401" t="s">
        <v>33</v>
      </c>
      <c r="E401" t="s">
        <v>47</v>
      </c>
      <c r="F401" t="s">
        <v>29</v>
      </c>
      <c r="G401">
        <v>0.5</v>
      </c>
      <c r="H401" t="s">
        <v>45</v>
      </c>
      <c r="I401" t="s">
        <v>25</v>
      </c>
      <c r="J401" t="s">
        <v>19</v>
      </c>
      <c r="K401" t="s">
        <v>20</v>
      </c>
      <c r="L401">
        <v>920</v>
      </c>
      <c r="M401" t="s">
        <v>78</v>
      </c>
      <c r="N401">
        <v>2021</v>
      </c>
    </row>
    <row r="402" spans="1:14" x14ac:dyDescent="0.25">
      <c r="A402">
        <v>401</v>
      </c>
      <c r="B402">
        <v>44515</v>
      </c>
      <c r="C402" t="s">
        <v>56</v>
      </c>
      <c r="D402" t="s">
        <v>14</v>
      </c>
      <c r="E402" t="s">
        <v>15</v>
      </c>
      <c r="F402" t="s">
        <v>63</v>
      </c>
      <c r="G402">
        <v>0</v>
      </c>
      <c r="H402" t="s">
        <v>49</v>
      </c>
      <c r="I402" t="s">
        <v>39</v>
      </c>
      <c r="J402" t="s">
        <v>26</v>
      </c>
      <c r="K402" t="s">
        <v>50</v>
      </c>
      <c r="L402">
        <v>37</v>
      </c>
      <c r="M402" t="s">
        <v>78</v>
      </c>
      <c r="N402">
        <v>2021</v>
      </c>
    </row>
    <row r="403" spans="1:14" x14ac:dyDescent="0.25">
      <c r="A403">
        <v>402</v>
      </c>
      <c r="B403">
        <v>44515</v>
      </c>
      <c r="C403" t="s">
        <v>51</v>
      </c>
      <c r="D403" t="s">
        <v>14</v>
      </c>
      <c r="E403" t="s">
        <v>34</v>
      </c>
      <c r="F403" t="s">
        <v>63</v>
      </c>
      <c r="G403">
        <v>0</v>
      </c>
      <c r="H403" t="s">
        <v>30</v>
      </c>
      <c r="I403" t="s">
        <v>53</v>
      </c>
      <c r="J403" t="s">
        <v>46</v>
      </c>
      <c r="K403" t="s">
        <v>20</v>
      </c>
      <c r="L403">
        <v>4791</v>
      </c>
      <c r="M403" t="s">
        <v>78</v>
      </c>
      <c r="N403">
        <v>2021</v>
      </c>
    </row>
    <row r="404" spans="1:14" x14ac:dyDescent="0.25">
      <c r="A404">
        <v>403</v>
      </c>
      <c r="B404">
        <v>44516</v>
      </c>
      <c r="C404" t="s">
        <v>58</v>
      </c>
      <c r="D404" t="s">
        <v>14</v>
      </c>
      <c r="E404" t="s">
        <v>34</v>
      </c>
      <c r="F404" t="s">
        <v>38</v>
      </c>
      <c r="G404">
        <v>0</v>
      </c>
      <c r="H404" t="s">
        <v>17</v>
      </c>
      <c r="I404" t="s">
        <v>53</v>
      </c>
      <c r="J404" t="s">
        <v>26</v>
      </c>
      <c r="K404" t="s">
        <v>59</v>
      </c>
      <c r="L404">
        <v>2124</v>
      </c>
      <c r="M404" t="s">
        <v>78</v>
      </c>
      <c r="N404">
        <v>2021</v>
      </c>
    </row>
    <row r="405" spans="1:14" x14ac:dyDescent="0.25">
      <c r="A405">
        <v>404</v>
      </c>
      <c r="B405">
        <v>44517</v>
      </c>
      <c r="C405" t="s">
        <v>56</v>
      </c>
      <c r="D405" t="s">
        <v>33</v>
      </c>
      <c r="E405" t="s">
        <v>15</v>
      </c>
      <c r="F405" t="s">
        <v>48</v>
      </c>
      <c r="G405">
        <v>0</v>
      </c>
      <c r="H405" t="s">
        <v>37</v>
      </c>
      <c r="I405" t="s">
        <v>18</v>
      </c>
      <c r="J405" t="s">
        <v>19</v>
      </c>
      <c r="K405" t="s">
        <v>43</v>
      </c>
      <c r="L405">
        <v>0</v>
      </c>
      <c r="M405" t="s">
        <v>78</v>
      </c>
      <c r="N405">
        <v>2021</v>
      </c>
    </row>
    <row r="406" spans="1:14" x14ac:dyDescent="0.25">
      <c r="A406">
        <v>405</v>
      </c>
      <c r="B406">
        <v>44521</v>
      </c>
      <c r="C406" t="s">
        <v>44</v>
      </c>
      <c r="D406" t="s">
        <v>14</v>
      </c>
      <c r="E406" t="s">
        <v>47</v>
      </c>
      <c r="F406" t="s">
        <v>63</v>
      </c>
      <c r="G406">
        <v>0</v>
      </c>
      <c r="H406" t="s">
        <v>24</v>
      </c>
      <c r="I406" t="s">
        <v>53</v>
      </c>
      <c r="J406" t="s">
        <v>26</v>
      </c>
      <c r="K406" t="s">
        <v>27</v>
      </c>
      <c r="L406">
        <v>1636</v>
      </c>
      <c r="M406" t="s">
        <v>78</v>
      </c>
      <c r="N406">
        <v>2021</v>
      </c>
    </row>
    <row r="407" spans="1:14" x14ac:dyDescent="0.25">
      <c r="A407">
        <v>406</v>
      </c>
      <c r="B407">
        <v>44522</v>
      </c>
      <c r="C407" t="s">
        <v>21</v>
      </c>
      <c r="D407" t="s">
        <v>14</v>
      </c>
      <c r="E407" t="s">
        <v>47</v>
      </c>
      <c r="F407" t="s">
        <v>23</v>
      </c>
      <c r="G407">
        <v>0</v>
      </c>
      <c r="H407" t="s">
        <v>30</v>
      </c>
      <c r="I407" t="s">
        <v>53</v>
      </c>
      <c r="J407" t="s">
        <v>46</v>
      </c>
      <c r="K407" t="s">
        <v>50</v>
      </c>
      <c r="L407">
        <v>4069</v>
      </c>
      <c r="M407" t="s">
        <v>78</v>
      </c>
      <c r="N407">
        <v>2021</v>
      </c>
    </row>
    <row r="408" spans="1:14" x14ac:dyDescent="0.25">
      <c r="A408">
        <v>407</v>
      </c>
      <c r="B408">
        <v>44523</v>
      </c>
      <c r="C408" t="s">
        <v>65</v>
      </c>
      <c r="D408" t="s">
        <v>14</v>
      </c>
      <c r="E408" t="s">
        <v>34</v>
      </c>
      <c r="F408" t="s">
        <v>36</v>
      </c>
      <c r="G408">
        <v>0</v>
      </c>
      <c r="H408" t="s">
        <v>37</v>
      </c>
      <c r="I408" t="s">
        <v>39</v>
      </c>
      <c r="J408" t="s">
        <v>19</v>
      </c>
      <c r="K408" t="s">
        <v>52</v>
      </c>
      <c r="L408">
        <v>493</v>
      </c>
      <c r="M408" t="s">
        <v>78</v>
      </c>
      <c r="N408">
        <v>2021</v>
      </c>
    </row>
    <row r="409" spans="1:14" x14ac:dyDescent="0.25">
      <c r="A409">
        <v>408</v>
      </c>
      <c r="B409">
        <v>44524</v>
      </c>
      <c r="C409" t="s">
        <v>13</v>
      </c>
      <c r="D409" t="s">
        <v>14</v>
      </c>
      <c r="E409" t="s">
        <v>47</v>
      </c>
      <c r="F409" t="s">
        <v>35</v>
      </c>
      <c r="G409">
        <v>0</v>
      </c>
      <c r="H409" t="s">
        <v>24</v>
      </c>
      <c r="I409" t="s">
        <v>53</v>
      </c>
      <c r="J409" t="s">
        <v>46</v>
      </c>
      <c r="K409" t="s">
        <v>54</v>
      </c>
      <c r="L409">
        <v>1493</v>
      </c>
      <c r="M409" t="s">
        <v>78</v>
      </c>
      <c r="N409">
        <v>2021</v>
      </c>
    </row>
    <row r="410" spans="1:14" x14ac:dyDescent="0.25">
      <c r="A410">
        <v>409</v>
      </c>
      <c r="B410">
        <v>44526</v>
      </c>
      <c r="C410" t="s">
        <v>58</v>
      </c>
      <c r="D410" t="s">
        <v>14</v>
      </c>
      <c r="E410" t="s">
        <v>22</v>
      </c>
      <c r="F410" t="s">
        <v>29</v>
      </c>
      <c r="G410">
        <v>0</v>
      </c>
      <c r="H410" t="s">
        <v>37</v>
      </c>
      <c r="I410" t="s">
        <v>18</v>
      </c>
      <c r="J410" t="s">
        <v>46</v>
      </c>
      <c r="K410" t="s">
        <v>52</v>
      </c>
      <c r="L410">
        <v>0</v>
      </c>
      <c r="M410" t="s">
        <v>78</v>
      </c>
      <c r="N410">
        <v>2021</v>
      </c>
    </row>
    <row r="411" spans="1:14" x14ac:dyDescent="0.25">
      <c r="A411">
        <v>410</v>
      </c>
      <c r="B411">
        <v>44528</v>
      </c>
      <c r="C411" t="s">
        <v>28</v>
      </c>
      <c r="D411" t="s">
        <v>33</v>
      </c>
      <c r="E411" t="s">
        <v>47</v>
      </c>
      <c r="F411" t="s">
        <v>48</v>
      </c>
      <c r="G411">
        <v>0</v>
      </c>
      <c r="H411" t="s">
        <v>24</v>
      </c>
      <c r="I411" t="s">
        <v>39</v>
      </c>
      <c r="J411" t="s">
        <v>26</v>
      </c>
      <c r="K411" t="s">
        <v>31</v>
      </c>
      <c r="L411">
        <v>449</v>
      </c>
      <c r="M411" t="s">
        <v>78</v>
      </c>
      <c r="N411">
        <v>2021</v>
      </c>
    </row>
    <row r="412" spans="1:14" x14ac:dyDescent="0.25">
      <c r="A412">
        <v>411</v>
      </c>
      <c r="B412">
        <v>44530</v>
      </c>
      <c r="C412" t="s">
        <v>13</v>
      </c>
      <c r="D412" t="s">
        <v>14</v>
      </c>
      <c r="E412" t="s">
        <v>15</v>
      </c>
      <c r="F412" t="s">
        <v>63</v>
      </c>
      <c r="G412">
        <v>1.5</v>
      </c>
      <c r="H412" t="s">
        <v>49</v>
      </c>
      <c r="I412" t="s">
        <v>25</v>
      </c>
      <c r="J412" t="s">
        <v>46</v>
      </c>
      <c r="K412" t="s">
        <v>31</v>
      </c>
      <c r="L412">
        <v>4871</v>
      </c>
      <c r="M412" t="s">
        <v>78</v>
      </c>
      <c r="N412">
        <v>2021</v>
      </c>
    </row>
    <row r="413" spans="1:14" x14ac:dyDescent="0.25">
      <c r="A413">
        <v>412</v>
      </c>
      <c r="B413">
        <v>44533</v>
      </c>
      <c r="C413" t="s">
        <v>44</v>
      </c>
      <c r="D413" t="s">
        <v>33</v>
      </c>
      <c r="E413" t="s">
        <v>47</v>
      </c>
      <c r="F413" t="s">
        <v>36</v>
      </c>
      <c r="G413">
        <v>0</v>
      </c>
      <c r="H413" t="s">
        <v>49</v>
      </c>
      <c r="I413" t="s">
        <v>18</v>
      </c>
      <c r="J413" t="s">
        <v>26</v>
      </c>
      <c r="K413" t="s">
        <v>43</v>
      </c>
      <c r="L413">
        <v>0</v>
      </c>
      <c r="M413" t="s">
        <v>79</v>
      </c>
      <c r="N413">
        <v>2021</v>
      </c>
    </row>
    <row r="414" spans="1:14" x14ac:dyDescent="0.25">
      <c r="A414">
        <v>413</v>
      </c>
      <c r="B414">
        <v>44534</v>
      </c>
      <c r="C414" t="s">
        <v>51</v>
      </c>
      <c r="D414" t="s">
        <v>14</v>
      </c>
      <c r="E414" t="s">
        <v>15</v>
      </c>
      <c r="F414" t="s">
        <v>48</v>
      </c>
      <c r="G414">
        <v>0</v>
      </c>
      <c r="H414" t="s">
        <v>57</v>
      </c>
      <c r="I414" t="s">
        <v>18</v>
      </c>
      <c r="J414" t="s">
        <v>46</v>
      </c>
      <c r="K414" t="s">
        <v>59</v>
      </c>
      <c r="L414">
        <v>0</v>
      </c>
      <c r="M414" t="s">
        <v>79</v>
      </c>
      <c r="N414">
        <v>2021</v>
      </c>
    </row>
    <row r="415" spans="1:14" x14ac:dyDescent="0.25">
      <c r="A415">
        <v>414</v>
      </c>
      <c r="B415">
        <v>44536</v>
      </c>
      <c r="C415" t="s">
        <v>61</v>
      </c>
      <c r="D415" t="s">
        <v>14</v>
      </c>
      <c r="E415" t="s">
        <v>47</v>
      </c>
      <c r="F415" t="s">
        <v>36</v>
      </c>
      <c r="G415">
        <v>0</v>
      </c>
      <c r="H415" t="s">
        <v>45</v>
      </c>
      <c r="I415" t="s">
        <v>53</v>
      </c>
      <c r="J415" t="s">
        <v>46</v>
      </c>
      <c r="K415" t="s">
        <v>43</v>
      </c>
      <c r="L415">
        <v>4021</v>
      </c>
      <c r="M415" t="s">
        <v>79</v>
      </c>
      <c r="N415">
        <v>2021</v>
      </c>
    </row>
    <row r="416" spans="1:14" x14ac:dyDescent="0.25">
      <c r="A416">
        <v>415</v>
      </c>
      <c r="B416">
        <v>44536</v>
      </c>
      <c r="C416" t="s">
        <v>64</v>
      </c>
      <c r="D416" t="s">
        <v>14</v>
      </c>
      <c r="E416" t="s">
        <v>15</v>
      </c>
      <c r="F416" t="s">
        <v>48</v>
      </c>
      <c r="G416">
        <v>4.5</v>
      </c>
      <c r="H416" t="s">
        <v>30</v>
      </c>
      <c r="I416" t="s">
        <v>25</v>
      </c>
      <c r="J416" t="s">
        <v>46</v>
      </c>
      <c r="K416" t="s">
        <v>59</v>
      </c>
      <c r="L416">
        <v>4399</v>
      </c>
      <c r="M416" t="s">
        <v>79</v>
      </c>
      <c r="N416">
        <v>2021</v>
      </c>
    </row>
    <row r="417" spans="1:14" x14ac:dyDescent="0.25">
      <c r="A417">
        <v>416</v>
      </c>
      <c r="B417">
        <v>44538</v>
      </c>
      <c r="C417" t="s">
        <v>58</v>
      </c>
      <c r="D417" t="s">
        <v>14</v>
      </c>
      <c r="E417" t="s">
        <v>15</v>
      </c>
      <c r="F417" t="s">
        <v>23</v>
      </c>
      <c r="G417">
        <v>0</v>
      </c>
      <c r="H417" t="s">
        <v>55</v>
      </c>
      <c r="I417" t="s">
        <v>39</v>
      </c>
      <c r="J417" t="s">
        <v>19</v>
      </c>
      <c r="K417" t="s">
        <v>20</v>
      </c>
      <c r="L417">
        <v>324</v>
      </c>
      <c r="M417" t="s">
        <v>79</v>
      </c>
      <c r="N417">
        <v>2021</v>
      </c>
    </row>
    <row r="418" spans="1:14" x14ac:dyDescent="0.25">
      <c r="A418">
        <v>417</v>
      </c>
      <c r="B418">
        <v>44547</v>
      </c>
      <c r="C418" t="s">
        <v>44</v>
      </c>
      <c r="D418" t="s">
        <v>14</v>
      </c>
      <c r="E418" t="s">
        <v>34</v>
      </c>
      <c r="F418" t="s">
        <v>29</v>
      </c>
      <c r="G418">
        <v>0</v>
      </c>
      <c r="H418" t="s">
        <v>24</v>
      </c>
      <c r="I418" t="s">
        <v>39</v>
      </c>
      <c r="J418" t="s">
        <v>26</v>
      </c>
      <c r="K418" t="s">
        <v>54</v>
      </c>
      <c r="L418">
        <v>125</v>
      </c>
      <c r="M418" t="s">
        <v>79</v>
      </c>
      <c r="N418">
        <v>2021</v>
      </c>
    </row>
    <row r="419" spans="1:14" x14ac:dyDescent="0.25">
      <c r="A419">
        <v>418</v>
      </c>
      <c r="B419">
        <v>44550</v>
      </c>
      <c r="C419" t="s">
        <v>56</v>
      </c>
      <c r="D419" t="s">
        <v>14</v>
      </c>
      <c r="E419" t="s">
        <v>22</v>
      </c>
      <c r="F419" t="s">
        <v>36</v>
      </c>
      <c r="G419">
        <v>0</v>
      </c>
      <c r="H419" t="s">
        <v>17</v>
      </c>
      <c r="I419" t="s">
        <v>53</v>
      </c>
      <c r="J419" t="s">
        <v>26</v>
      </c>
      <c r="K419" t="s">
        <v>43</v>
      </c>
      <c r="L419">
        <v>2351</v>
      </c>
      <c r="M419" t="s">
        <v>79</v>
      </c>
      <c r="N419">
        <v>2021</v>
      </c>
    </row>
    <row r="420" spans="1:14" x14ac:dyDescent="0.25">
      <c r="A420">
        <v>419</v>
      </c>
      <c r="B420">
        <v>44552</v>
      </c>
      <c r="C420" t="s">
        <v>32</v>
      </c>
      <c r="D420" t="s">
        <v>14</v>
      </c>
      <c r="E420" t="s">
        <v>47</v>
      </c>
      <c r="F420" t="s">
        <v>36</v>
      </c>
      <c r="G420">
        <v>0</v>
      </c>
      <c r="H420" t="s">
        <v>49</v>
      </c>
      <c r="I420" t="s">
        <v>18</v>
      </c>
      <c r="J420" t="s">
        <v>26</v>
      </c>
      <c r="K420" t="s">
        <v>31</v>
      </c>
      <c r="L420">
        <v>0</v>
      </c>
      <c r="M420" t="s">
        <v>79</v>
      </c>
      <c r="N420">
        <v>2021</v>
      </c>
    </row>
    <row r="421" spans="1:14" x14ac:dyDescent="0.25">
      <c r="A421">
        <v>420</v>
      </c>
      <c r="B421">
        <v>44553</v>
      </c>
      <c r="C421" t="s">
        <v>61</v>
      </c>
      <c r="D421" t="s">
        <v>14</v>
      </c>
      <c r="E421" t="s">
        <v>42</v>
      </c>
      <c r="F421" t="s">
        <v>62</v>
      </c>
      <c r="G421">
        <v>0</v>
      </c>
      <c r="H421" t="s">
        <v>45</v>
      </c>
      <c r="I421" t="s">
        <v>53</v>
      </c>
      <c r="J421" t="s">
        <v>26</v>
      </c>
      <c r="K421" t="s">
        <v>50</v>
      </c>
      <c r="L421">
        <v>2699</v>
      </c>
      <c r="M421" t="s">
        <v>79</v>
      </c>
      <c r="N421">
        <v>2021</v>
      </c>
    </row>
    <row r="422" spans="1:14" x14ac:dyDescent="0.25">
      <c r="A422">
        <v>421</v>
      </c>
      <c r="B422">
        <v>44558</v>
      </c>
      <c r="C422" t="s">
        <v>61</v>
      </c>
      <c r="D422" t="s">
        <v>14</v>
      </c>
      <c r="E422" t="s">
        <v>47</v>
      </c>
      <c r="F422" t="s">
        <v>62</v>
      </c>
      <c r="G422">
        <v>0</v>
      </c>
      <c r="H422" t="s">
        <v>24</v>
      </c>
      <c r="I422" t="s">
        <v>39</v>
      </c>
      <c r="J422" t="s">
        <v>46</v>
      </c>
      <c r="K422" t="s">
        <v>20</v>
      </c>
      <c r="L422">
        <v>422</v>
      </c>
      <c r="M422" t="s">
        <v>79</v>
      </c>
      <c r="N422">
        <v>2021</v>
      </c>
    </row>
    <row r="423" spans="1:14" x14ac:dyDescent="0.25">
      <c r="A423">
        <v>422</v>
      </c>
      <c r="B423">
        <v>44559</v>
      </c>
      <c r="C423" t="s">
        <v>21</v>
      </c>
      <c r="D423" t="s">
        <v>14</v>
      </c>
      <c r="E423" t="s">
        <v>22</v>
      </c>
      <c r="F423" t="s">
        <v>29</v>
      </c>
      <c r="G423">
        <v>0</v>
      </c>
      <c r="H423" t="s">
        <v>60</v>
      </c>
      <c r="I423" t="s">
        <v>18</v>
      </c>
      <c r="J423" t="s">
        <v>46</v>
      </c>
      <c r="K423" t="s">
        <v>54</v>
      </c>
      <c r="L423">
        <v>0</v>
      </c>
      <c r="M423" t="s">
        <v>79</v>
      </c>
      <c r="N423">
        <v>2021</v>
      </c>
    </row>
    <row r="424" spans="1:14" x14ac:dyDescent="0.25">
      <c r="A424">
        <v>423</v>
      </c>
      <c r="B424">
        <v>44563</v>
      </c>
      <c r="C424" t="s">
        <v>13</v>
      </c>
      <c r="D424" t="s">
        <v>14</v>
      </c>
      <c r="E424" t="s">
        <v>47</v>
      </c>
      <c r="F424" t="s">
        <v>62</v>
      </c>
      <c r="G424">
        <v>1</v>
      </c>
      <c r="H424" t="s">
        <v>49</v>
      </c>
      <c r="I424" t="s">
        <v>25</v>
      </c>
      <c r="J424" t="s">
        <v>19</v>
      </c>
      <c r="K424" t="s">
        <v>50</v>
      </c>
      <c r="L424">
        <v>3582</v>
      </c>
      <c r="M424" t="s">
        <v>68</v>
      </c>
      <c r="N424">
        <v>2022</v>
      </c>
    </row>
    <row r="425" spans="1:14" x14ac:dyDescent="0.25">
      <c r="A425">
        <v>424</v>
      </c>
      <c r="B425">
        <v>44564</v>
      </c>
      <c r="C425" t="s">
        <v>61</v>
      </c>
      <c r="D425" t="s">
        <v>14</v>
      </c>
      <c r="E425" t="s">
        <v>42</v>
      </c>
      <c r="F425" t="s">
        <v>48</v>
      </c>
      <c r="G425">
        <v>0</v>
      </c>
      <c r="H425" t="s">
        <v>45</v>
      </c>
      <c r="I425" t="s">
        <v>18</v>
      </c>
      <c r="J425" t="s">
        <v>46</v>
      </c>
      <c r="K425" t="s">
        <v>40</v>
      </c>
      <c r="L425">
        <v>0</v>
      </c>
      <c r="M425" t="s">
        <v>68</v>
      </c>
      <c r="N425">
        <v>2022</v>
      </c>
    </row>
    <row r="426" spans="1:14" x14ac:dyDescent="0.25">
      <c r="A426">
        <v>425</v>
      </c>
      <c r="B426">
        <v>44565</v>
      </c>
      <c r="C426" t="s">
        <v>58</v>
      </c>
      <c r="D426" t="s">
        <v>14</v>
      </c>
      <c r="E426" t="s">
        <v>34</v>
      </c>
      <c r="F426" t="s">
        <v>63</v>
      </c>
      <c r="G426">
        <v>0</v>
      </c>
      <c r="H426" t="s">
        <v>17</v>
      </c>
      <c r="I426" t="s">
        <v>18</v>
      </c>
      <c r="J426" t="s">
        <v>19</v>
      </c>
      <c r="K426" t="s">
        <v>20</v>
      </c>
      <c r="L426">
        <v>0</v>
      </c>
      <c r="M426" t="s">
        <v>68</v>
      </c>
      <c r="N426">
        <v>2022</v>
      </c>
    </row>
    <row r="427" spans="1:14" x14ac:dyDescent="0.25">
      <c r="A427">
        <v>426</v>
      </c>
      <c r="B427">
        <v>44565</v>
      </c>
      <c r="C427" t="s">
        <v>21</v>
      </c>
      <c r="D427" t="s">
        <v>14</v>
      </c>
      <c r="E427" t="s">
        <v>22</v>
      </c>
      <c r="F427" t="s">
        <v>38</v>
      </c>
      <c r="G427">
        <v>1.5</v>
      </c>
      <c r="H427" t="s">
        <v>17</v>
      </c>
      <c r="I427" t="s">
        <v>25</v>
      </c>
      <c r="J427" t="s">
        <v>46</v>
      </c>
      <c r="K427" t="s">
        <v>27</v>
      </c>
      <c r="L427">
        <v>2459</v>
      </c>
      <c r="M427" t="s">
        <v>68</v>
      </c>
      <c r="N427">
        <v>2022</v>
      </c>
    </row>
    <row r="428" spans="1:14" x14ac:dyDescent="0.25">
      <c r="A428">
        <v>427</v>
      </c>
      <c r="B428">
        <v>44569</v>
      </c>
      <c r="C428" t="s">
        <v>21</v>
      </c>
      <c r="D428" t="s">
        <v>14</v>
      </c>
      <c r="E428" t="s">
        <v>34</v>
      </c>
      <c r="F428" t="s">
        <v>29</v>
      </c>
      <c r="G428">
        <v>0</v>
      </c>
      <c r="H428" t="s">
        <v>55</v>
      </c>
      <c r="I428" t="s">
        <v>39</v>
      </c>
      <c r="J428" t="s">
        <v>26</v>
      </c>
      <c r="K428" t="s">
        <v>43</v>
      </c>
      <c r="L428">
        <v>60</v>
      </c>
      <c r="M428" t="s">
        <v>68</v>
      </c>
      <c r="N428">
        <v>2022</v>
      </c>
    </row>
    <row r="429" spans="1:14" x14ac:dyDescent="0.25">
      <c r="A429">
        <v>428</v>
      </c>
      <c r="B429">
        <v>44570</v>
      </c>
      <c r="C429" t="s">
        <v>56</v>
      </c>
      <c r="D429" t="s">
        <v>33</v>
      </c>
      <c r="E429" t="s">
        <v>22</v>
      </c>
      <c r="F429" t="s">
        <v>36</v>
      </c>
      <c r="G429">
        <v>4</v>
      </c>
      <c r="H429" t="s">
        <v>24</v>
      </c>
      <c r="I429" t="s">
        <v>25</v>
      </c>
      <c r="J429" t="s">
        <v>46</v>
      </c>
      <c r="K429" t="s">
        <v>40</v>
      </c>
      <c r="L429">
        <v>736</v>
      </c>
      <c r="M429" t="s">
        <v>68</v>
      </c>
      <c r="N429">
        <v>2022</v>
      </c>
    </row>
    <row r="430" spans="1:14" x14ac:dyDescent="0.25">
      <c r="A430">
        <v>429</v>
      </c>
      <c r="B430">
        <v>44573</v>
      </c>
      <c r="C430" t="s">
        <v>58</v>
      </c>
      <c r="D430" t="s">
        <v>14</v>
      </c>
      <c r="E430" t="s">
        <v>22</v>
      </c>
      <c r="F430" t="s">
        <v>62</v>
      </c>
      <c r="G430">
        <v>0</v>
      </c>
      <c r="H430" t="s">
        <v>55</v>
      </c>
      <c r="I430" t="s">
        <v>18</v>
      </c>
      <c r="J430" t="s">
        <v>26</v>
      </c>
      <c r="K430" t="s">
        <v>20</v>
      </c>
      <c r="L430">
        <v>0</v>
      </c>
      <c r="M430" t="s">
        <v>68</v>
      </c>
      <c r="N430">
        <v>2022</v>
      </c>
    </row>
    <row r="431" spans="1:14" x14ac:dyDescent="0.25">
      <c r="A431">
        <v>430</v>
      </c>
      <c r="B431">
        <v>44575</v>
      </c>
      <c r="C431" t="s">
        <v>21</v>
      </c>
      <c r="D431" t="s">
        <v>14</v>
      </c>
      <c r="E431" t="s">
        <v>34</v>
      </c>
      <c r="F431" t="s">
        <v>16</v>
      </c>
      <c r="G431">
        <v>0</v>
      </c>
      <c r="H431" t="s">
        <v>60</v>
      </c>
      <c r="I431" t="s">
        <v>18</v>
      </c>
      <c r="J431" t="s">
        <v>46</v>
      </c>
      <c r="K431" t="s">
        <v>52</v>
      </c>
      <c r="L431">
        <v>0</v>
      </c>
      <c r="M431" t="s">
        <v>68</v>
      </c>
      <c r="N431">
        <v>2022</v>
      </c>
    </row>
    <row r="432" spans="1:14" x14ac:dyDescent="0.25">
      <c r="A432">
        <v>431</v>
      </c>
      <c r="B432">
        <v>44576</v>
      </c>
      <c r="C432" t="s">
        <v>44</v>
      </c>
      <c r="D432" t="s">
        <v>14</v>
      </c>
      <c r="E432" t="s">
        <v>34</v>
      </c>
      <c r="F432" t="s">
        <v>29</v>
      </c>
      <c r="G432">
        <v>0</v>
      </c>
      <c r="H432" t="s">
        <v>24</v>
      </c>
      <c r="I432" t="s">
        <v>53</v>
      </c>
      <c r="J432" t="s">
        <v>26</v>
      </c>
      <c r="K432" t="s">
        <v>40</v>
      </c>
      <c r="L432">
        <v>1045</v>
      </c>
      <c r="M432" t="s">
        <v>68</v>
      </c>
      <c r="N432">
        <v>2022</v>
      </c>
    </row>
    <row r="433" spans="1:14" x14ac:dyDescent="0.25">
      <c r="A433">
        <v>432</v>
      </c>
      <c r="B433">
        <v>44577</v>
      </c>
      <c r="C433" t="s">
        <v>44</v>
      </c>
      <c r="D433" t="s">
        <v>14</v>
      </c>
      <c r="E433" t="s">
        <v>15</v>
      </c>
      <c r="F433" t="s">
        <v>63</v>
      </c>
      <c r="G433">
        <v>0</v>
      </c>
      <c r="H433" t="s">
        <v>60</v>
      </c>
      <c r="I433" t="s">
        <v>39</v>
      </c>
      <c r="J433" t="s">
        <v>26</v>
      </c>
      <c r="K433" t="s">
        <v>50</v>
      </c>
      <c r="L433">
        <v>83</v>
      </c>
      <c r="M433" t="s">
        <v>68</v>
      </c>
      <c r="N433">
        <v>2022</v>
      </c>
    </row>
    <row r="434" spans="1:14" x14ac:dyDescent="0.25">
      <c r="A434">
        <v>433</v>
      </c>
      <c r="B434">
        <v>44577</v>
      </c>
      <c r="C434" t="s">
        <v>41</v>
      </c>
      <c r="D434" t="s">
        <v>14</v>
      </c>
      <c r="E434" t="s">
        <v>47</v>
      </c>
      <c r="F434" t="s">
        <v>63</v>
      </c>
      <c r="G434">
        <v>0</v>
      </c>
      <c r="H434" t="s">
        <v>57</v>
      </c>
      <c r="I434" t="s">
        <v>18</v>
      </c>
      <c r="J434" t="s">
        <v>46</v>
      </c>
      <c r="K434" t="s">
        <v>43</v>
      </c>
      <c r="L434">
        <v>0</v>
      </c>
      <c r="M434" t="s">
        <v>68</v>
      </c>
      <c r="N434">
        <v>2022</v>
      </c>
    </row>
    <row r="435" spans="1:14" x14ac:dyDescent="0.25">
      <c r="A435">
        <v>434</v>
      </c>
      <c r="B435">
        <v>44580</v>
      </c>
      <c r="C435" t="s">
        <v>56</v>
      </c>
      <c r="D435" t="s">
        <v>14</v>
      </c>
      <c r="E435" t="s">
        <v>15</v>
      </c>
      <c r="F435" t="s">
        <v>16</v>
      </c>
      <c r="G435">
        <v>1.5</v>
      </c>
      <c r="H435" t="s">
        <v>24</v>
      </c>
      <c r="I435" t="s">
        <v>25</v>
      </c>
      <c r="J435" t="s">
        <v>26</v>
      </c>
      <c r="K435" t="s">
        <v>40</v>
      </c>
      <c r="L435">
        <v>998</v>
      </c>
      <c r="M435" t="s">
        <v>68</v>
      </c>
      <c r="N435">
        <v>2022</v>
      </c>
    </row>
    <row r="436" spans="1:14" x14ac:dyDescent="0.25">
      <c r="A436">
        <v>435</v>
      </c>
      <c r="B436">
        <v>44580</v>
      </c>
      <c r="C436" t="s">
        <v>56</v>
      </c>
      <c r="D436" t="s">
        <v>14</v>
      </c>
      <c r="E436" t="s">
        <v>22</v>
      </c>
      <c r="F436" t="s">
        <v>16</v>
      </c>
      <c r="G436">
        <v>1</v>
      </c>
      <c r="H436" t="s">
        <v>49</v>
      </c>
      <c r="I436" t="s">
        <v>25</v>
      </c>
      <c r="J436" t="s">
        <v>26</v>
      </c>
      <c r="K436" t="s">
        <v>20</v>
      </c>
      <c r="L436">
        <v>2170</v>
      </c>
      <c r="M436" t="s">
        <v>68</v>
      </c>
      <c r="N436">
        <v>2022</v>
      </c>
    </row>
    <row r="437" spans="1:14" x14ac:dyDescent="0.25">
      <c r="A437">
        <v>436</v>
      </c>
      <c r="B437">
        <v>44581</v>
      </c>
      <c r="C437" t="s">
        <v>13</v>
      </c>
      <c r="D437" t="s">
        <v>14</v>
      </c>
      <c r="E437" t="s">
        <v>42</v>
      </c>
      <c r="F437" t="s">
        <v>62</v>
      </c>
      <c r="G437">
        <v>0</v>
      </c>
      <c r="H437" t="s">
        <v>17</v>
      </c>
      <c r="I437" t="s">
        <v>39</v>
      </c>
      <c r="J437" t="s">
        <v>46</v>
      </c>
      <c r="K437" t="s">
        <v>31</v>
      </c>
      <c r="L437">
        <v>385</v>
      </c>
      <c r="M437" t="s">
        <v>68</v>
      </c>
      <c r="N437">
        <v>2022</v>
      </c>
    </row>
    <row r="438" spans="1:14" x14ac:dyDescent="0.25">
      <c r="A438">
        <v>437</v>
      </c>
      <c r="B438">
        <v>44582</v>
      </c>
      <c r="C438" t="s">
        <v>28</v>
      </c>
      <c r="D438" t="s">
        <v>14</v>
      </c>
      <c r="E438" t="s">
        <v>22</v>
      </c>
      <c r="F438" t="s">
        <v>16</v>
      </c>
      <c r="G438">
        <v>0</v>
      </c>
      <c r="H438" t="s">
        <v>24</v>
      </c>
      <c r="I438" t="s">
        <v>53</v>
      </c>
      <c r="J438" t="s">
        <v>19</v>
      </c>
      <c r="K438" t="s">
        <v>43</v>
      </c>
      <c r="L438">
        <v>1277</v>
      </c>
      <c r="M438" t="s">
        <v>68</v>
      </c>
      <c r="N438">
        <v>2022</v>
      </c>
    </row>
    <row r="439" spans="1:14" x14ac:dyDescent="0.25">
      <c r="A439">
        <v>438</v>
      </c>
      <c r="B439">
        <v>44583</v>
      </c>
      <c r="C439" t="s">
        <v>61</v>
      </c>
      <c r="D439" t="s">
        <v>14</v>
      </c>
      <c r="E439" t="s">
        <v>34</v>
      </c>
      <c r="F439" t="s">
        <v>48</v>
      </c>
      <c r="G439">
        <v>0</v>
      </c>
      <c r="H439" t="s">
        <v>30</v>
      </c>
      <c r="I439" t="s">
        <v>39</v>
      </c>
      <c r="J439" t="s">
        <v>19</v>
      </c>
      <c r="K439" t="s">
        <v>43</v>
      </c>
      <c r="L439">
        <v>350</v>
      </c>
      <c r="M439" t="s">
        <v>68</v>
      </c>
      <c r="N439">
        <v>2022</v>
      </c>
    </row>
    <row r="440" spans="1:14" x14ac:dyDescent="0.25">
      <c r="A440">
        <v>439</v>
      </c>
      <c r="B440">
        <v>44588</v>
      </c>
      <c r="C440" t="s">
        <v>58</v>
      </c>
      <c r="D440" t="s">
        <v>14</v>
      </c>
      <c r="E440" t="s">
        <v>47</v>
      </c>
      <c r="F440" t="s">
        <v>35</v>
      </c>
      <c r="G440">
        <v>0</v>
      </c>
      <c r="H440" t="s">
        <v>37</v>
      </c>
      <c r="I440" t="s">
        <v>53</v>
      </c>
      <c r="J440" t="s">
        <v>46</v>
      </c>
      <c r="K440" t="s">
        <v>31</v>
      </c>
      <c r="L440">
        <v>2321</v>
      </c>
      <c r="M440" t="s">
        <v>68</v>
      </c>
      <c r="N440">
        <v>2022</v>
      </c>
    </row>
    <row r="441" spans="1:14" x14ac:dyDescent="0.25">
      <c r="A441">
        <v>440</v>
      </c>
      <c r="B441">
        <v>44589</v>
      </c>
      <c r="C441" t="s">
        <v>32</v>
      </c>
      <c r="D441" t="s">
        <v>14</v>
      </c>
      <c r="E441" t="s">
        <v>34</v>
      </c>
      <c r="F441" t="s">
        <v>23</v>
      </c>
      <c r="G441">
        <v>0</v>
      </c>
      <c r="H441" t="s">
        <v>49</v>
      </c>
      <c r="I441" t="s">
        <v>18</v>
      </c>
      <c r="J441" t="s">
        <v>26</v>
      </c>
      <c r="K441" t="s">
        <v>54</v>
      </c>
      <c r="L441">
        <v>0</v>
      </c>
      <c r="M441" t="s">
        <v>68</v>
      </c>
      <c r="N441">
        <v>2022</v>
      </c>
    </row>
    <row r="442" spans="1:14" x14ac:dyDescent="0.25">
      <c r="A442">
        <v>441</v>
      </c>
      <c r="B442">
        <v>44589</v>
      </c>
      <c r="C442" t="s">
        <v>32</v>
      </c>
      <c r="D442" t="s">
        <v>14</v>
      </c>
      <c r="E442" t="s">
        <v>34</v>
      </c>
      <c r="F442" t="s">
        <v>36</v>
      </c>
      <c r="G442">
        <v>2.5</v>
      </c>
      <c r="H442" t="s">
        <v>49</v>
      </c>
      <c r="I442" t="s">
        <v>25</v>
      </c>
      <c r="J442" t="s">
        <v>19</v>
      </c>
      <c r="K442" t="s">
        <v>59</v>
      </c>
      <c r="L442">
        <v>4947</v>
      </c>
      <c r="M442" t="s">
        <v>68</v>
      </c>
      <c r="N442">
        <v>2022</v>
      </c>
    </row>
    <row r="443" spans="1:14" x14ac:dyDescent="0.25">
      <c r="A443">
        <v>442</v>
      </c>
      <c r="B443">
        <v>44591</v>
      </c>
      <c r="C443" t="s">
        <v>28</v>
      </c>
      <c r="D443" t="s">
        <v>33</v>
      </c>
      <c r="E443" t="s">
        <v>15</v>
      </c>
      <c r="F443" t="s">
        <v>62</v>
      </c>
      <c r="G443">
        <v>5</v>
      </c>
      <c r="H443" t="s">
        <v>37</v>
      </c>
      <c r="I443" t="s">
        <v>25</v>
      </c>
      <c r="J443" t="s">
        <v>26</v>
      </c>
      <c r="K443" t="s">
        <v>52</v>
      </c>
      <c r="L443">
        <v>1919</v>
      </c>
      <c r="M443" t="s">
        <v>68</v>
      </c>
      <c r="N443">
        <v>2022</v>
      </c>
    </row>
    <row r="444" spans="1:14" x14ac:dyDescent="0.25">
      <c r="A444">
        <v>443</v>
      </c>
      <c r="B444">
        <v>44594</v>
      </c>
      <c r="C444" t="s">
        <v>13</v>
      </c>
      <c r="D444" t="s">
        <v>14</v>
      </c>
      <c r="E444" t="s">
        <v>34</v>
      </c>
      <c r="F444" t="s">
        <v>35</v>
      </c>
      <c r="G444">
        <v>0</v>
      </c>
      <c r="H444" t="s">
        <v>55</v>
      </c>
      <c r="I444" t="s">
        <v>18</v>
      </c>
      <c r="J444" t="s">
        <v>19</v>
      </c>
      <c r="K444" t="s">
        <v>27</v>
      </c>
      <c r="L444">
        <v>0</v>
      </c>
      <c r="M444" t="s">
        <v>69</v>
      </c>
      <c r="N444">
        <v>2022</v>
      </c>
    </row>
    <row r="445" spans="1:14" x14ac:dyDescent="0.25">
      <c r="A445">
        <v>444</v>
      </c>
      <c r="B445">
        <v>44594</v>
      </c>
      <c r="C445" t="s">
        <v>21</v>
      </c>
      <c r="D445" t="s">
        <v>14</v>
      </c>
      <c r="E445" t="s">
        <v>15</v>
      </c>
      <c r="F445" t="s">
        <v>35</v>
      </c>
      <c r="G445">
        <v>1.5</v>
      </c>
      <c r="H445" t="s">
        <v>24</v>
      </c>
      <c r="I445" t="s">
        <v>25</v>
      </c>
      <c r="J445" t="s">
        <v>46</v>
      </c>
      <c r="K445" t="s">
        <v>40</v>
      </c>
      <c r="L445">
        <v>2381</v>
      </c>
      <c r="M445" t="s">
        <v>69</v>
      </c>
      <c r="N445">
        <v>2022</v>
      </c>
    </row>
    <row r="446" spans="1:14" x14ac:dyDescent="0.25">
      <c r="A446">
        <v>445</v>
      </c>
      <c r="B446">
        <v>44598</v>
      </c>
      <c r="C446" t="s">
        <v>13</v>
      </c>
      <c r="D446" t="s">
        <v>14</v>
      </c>
      <c r="E446" t="s">
        <v>22</v>
      </c>
      <c r="F446" t="s">
        <v>23</v>
      </c>
      <c r="G446">
        <v>0</v>
      </c>
      <c r="H446" t="s">
        <v>30</v>
      </c>
      <c r="I446" t="s">
        <v>53</v>
      </c>
      <c r="J446" t="s">
        <v>19</v>
      </c>
      <c r="K446" t="s">
        <v>40</v>
      </c>
      <c r="L446">
        <v>534</v>
      </c>
      <c r="M446" t="s">
        <v>69</v>
      </c>
      <c r="N446">
        <v>2022</v>
      </c>
    </row>
    <row r="447" spans="1:14" x14ac:dyDescent="0.25">
      <c r="A447">
        <v>446</v>
      </c>
      <c r="B447">
        <v>44599</v>
      </c>
      <c r="C447" t="s">
        <v>64</v>
      </c>
      <c r="D447" t="s">
        <v>14</v>
      </c>
      <c r="E447" t="s">
        <v>47</v>
      </c>
      <c r="F447" t="s">
        <v>23</v>
      </c>
      <c r="G447">
        <v>0</v>
      </c>
      <c r="H447" t="s">
        <v>30</v>
      </c>
      <c r="I447" t="s">
        <v>39</v>
      </c>
      <c r="J447" t="s">
        <v>26</v>
      </c>
      <c r="K447" t="s">
        <v>52</v>
      </c>
      <c r="L447">
        <v>461</v>
      </c>
      <c r="M447" t="s">
        <v>69</v>
      </c>
      <c r="N447">
        <v>2022</v>
      </c>
    </row>
    <row r="448" spans="1:14" x14ac:dyDescent="0.25">
      <c r="A448">
        <v>447</v>
      </c>
      <c r="B448">
        <v>44600</v>
      </c>
      <c r="C448" t="s">
        <v>61</v>
      </c>
      <c r="D448" t="s">
        <v>14</v>
      </c>
      <c r="E448" t="s">
        <v>34</v>
      </c>
      <c r="F448" t="s">
        <v>38</v>
      </c>
      <c r="G448">
        <v>0</v>
      </c>
      <c r="H448" t="s">
        <v>30</v>
      </c>
      <c r="I448" t="s">
        <v>18</v>
      </c>
      <c r="J448" t="s">
        <v>46</v>
      </c>
      <c r="K448" t="s">
        <v>40</v>
      </c>
      <c r="L448">
        <v>0</v>
      </c>
      <c r="M448" t="s">
        <v>69</v>
      </c>
      <c r="N448">
        <v>2022</v>
      </c>
    </row>
    <row r="449" spans="1:14" x14ac:dyDescent="0.25">
      <c r="A449">
        <v>448</v>
      </c>
      <c r="B449">
        <v>44600</v>
      </c>
      <c r="C449" t="s">
        <v>56</v>
      </c>
      <c r="D449" t="s">
        <v>14</v>
      </c>
      <c r="E449" t="s">
        <v>15</v>
      </c>
      <c r="F449" t="s">
        <v>29</v>
      </c>
      <c r="G449">
        <v>4</v>
      </c>
      <c r="H449" t="s">
        <v>30</v>
      </c>
      <c r="I449" t="s">
        <v>25</v>
      </c>
      <c r="J449" t="s">
        <v>46</v>
      </c>
      <c r="K449" t="s">
        <v>27</v>
      </c>
      <c r="L449">
        <v>1392</v>
      </c>
      <c r="M449" t="s">
        <v>69</v>
      </c>
      <c r="N449">
        <v>2022</v>
      </c>
    </row>
    <row r="450" spans="1:14" x14ac:dyDescent="0.25">
      <c r="A450">
        <v>449</v>
      </c>
      <c r="B450">
        <v>44601</v>
      </c>
      <c r="C450" t="s">
        <v>44</v>
      </c>
      <c r="D450" t="s">
        <v>14</v>
      </c>
      <c r="E450" t="s">
        <v>22</v>
      </c>
      <c r="F450" t="s">
        <v>29</v>
      </c>
      <c r="G450">
        <v>4</v>
      </c>
      <c r="H450" t="s">
        <v>55</v>
      </c>
      <c r="I450" t="s">
        <v>25</v>
      </c>
      <c r="J450" t="s">
        <v>46</v>
      </c>
      <c r="K450" t="s">
        <v>54</v>
      </c>
      <c r="L450">
        <v>540</v>
      </c>
      <c r="M450" t="s">
        <v>69</v>
      </c>
      <c r="N450">
        <v>2022</v>
      </c>
    </row>
    <row r="451" spans="1:14" x14ac:dyDescent="0.25">
      <c r="A451">
        <v>450</v>
      </c>
      <c r="B451">
        <v>44601</v>
      </c>
      <c r="C451" t="s">
        <v>21</v>
      </c>
      <c r="D451" t="s">
        <v>14</v>
      </c>
      <c r="E451" t="s">
        <v>34</v>
      </c>
      <c r="F451" t="s">
        <v>48</v>
      </c>
      <c r="G451">
        <v>0</v>
      </c>
      <c r="H451" t="s">
        <v>60</v>
      </c>
      <c r="I451" t="s">
        <v>39</v>
      </c>
      <c r="J451" t="s">
        <v>46</v>
      </c>
      <c r="K451" t="s">
        <v>40</v>
      </c>
      <c r="L451">
        <v>41</v>
      </c>
      <c r="M451" t="s">
        <v>69</v>
      </c>
      <c r="N451">
        <v>2022</v>
      </c>
    </row>
    <row r="452" spans="1:14" x14ac:dyDescent="0.25">
      <c r="A452">
        <v>451</v>
      </c>
      <c r="B452">
        <v>44602</v>
      </c>
      <c r="C452" t="s">
        <v>13</v>
      </c>
      <c r="D452" t="s">
        <v>14</v>
      </c>
      <c r="E452" t="s">
        <v>15</v>
      </c>
      <c r="F452" t="s">
        <v>36</v>
      </c>
      <c r="G452">
        <v>0</v>
      </c>
      <c r="H452" t="s">
        <v>17</v>
      </c>
      <c r="I452" t="s">
        <v>53</v>
      </c>
      <c r="J452" t="s">
        <v>19</v>
      </c>
      <c r="K452" t="s">
        <v>31</v>
      </c>
      <c r="L452">
        <v>719</v>
      </c>
      <c r="M452" t="s">
        <v>69</v>
      </c>
      <c r="N452">
        <v>2022</v>
      </c>
    </row>
    <row r="453" spans="1:14" x14ac:dyDescent="0.25">
      <c r="A453">
        <v>452</v>
      </c>
      <c r="B453">
        <v>44603</v>
      </c>
      <c r="C453" t="s">
        <v>58</v>
      </c>
      <c r="D453" t="s">
        <v>14</v>
      </c>
      <c r="E453" t="s">
        <v>15</v>
      </c>
      <c r="F453" t="s">
        <v>23</v>
      </c>
      <c r="G453">
        <v>0</v>
      </c>
      <c r="H453" t="s">
        <v>30</v>
      </c>
      <c r="I453" t="s">
        <v>18</v>
      </c>
      <c r="J453" t="s">
        <v>46</v>
      </c>
      <c r="K453" t="s">
        <v>40</v>
      </c>
      <c r="L453">
        <v>0</v>
      </c>
      <c r="M453" t="s">
        <v>69</v>
      </c>
      <c r="N453">
        <v>2022</v>
      </c>
    </row>
    <row r="454" spans="1:14" x14ac:dyDescent="0.25">
      <c r="A454">
        <v>453</v>
      </c>
      <c r="B454">
        <v>44606</v>
      </c>
      <c r="C454" t="s">
        <v>13</v>
      </c>
      <c r="D454" t="s">
        <v>14</v>
      </c>
      <c r="E454" t="s">
        <v>34</v>
      </c>
      <c r="F454" t="s">
        <v>36</v>
      </c>
      <c r="G454">
        <v>0</v>
      </c>
      <c r="H454" t="s">
        <v>55</v>
      </c>
      <c r="I454" t="s">
        <v>39</v>
      </c>
      <c r="J454" t="s">
        <v>46</v>
      </c>
      <c r="K454" t="s">
        <v>27</v>
      </c>
      <c r="L454">
        <v>330</v>
      </c>
      <c r="M454" t="s">
        <v>69</v>
      </c>
      <c r="N454">
        <v>2022</v>
      </c>
    </row>
    <row r="455" spans="1:14" x14ac:dyDescent="0.25">
      <c r="A455">
        <v>454</v>
      </c>
      <c r="B455">
        <v>44606</v>
      </c>
      <c r="C455" t="s">
        <v>13</v>
      </c>
      <c r="D455" t="s">
        <v>14</v>
      </c>
      <c r="E455" t="s">
        <v>15</v>
      </c>
      <c r="F455" t="s">
        <v>35</v>
      </c>
      <c r="G455">
        <v>4.5</v>
      </c>
      <c r="H455" t="s">
        <v>57</v>
      </c>
      <c r="I455" t="s">
        <v>25</v>
      </c>
      <c r="J455" t="s">
        <v>19</v>
      </c>
      <c r="K455" t="s">
        <v>20</v>
      </c>
      <c r="L455">
        <v>855</v>
      </c>
      <c r="M455" t="s">
        <v>69</v>
      </c>
      <c r="N455">
        <v>2022</v>
      </c>
    </row>
    <row r="456" spans="1:14" x14ac:dyDescent="0.25">
      <c r="A456">
        <v>455</v>
      </c>
      <c r="B456">
        <v>44607</v>
      </c>
      <c r="C456" t="s">
        <v>65</v>
      </c>
      <c r="D456" t="s">
        <v>14</v>
      </c>
      <c r="E456" t="s">
        <v>47</v>
      </c>
      <c r="F456" t="s">
        <v>63</v>
      </c>
      <c r="G456">
        <v>3.5</v>
      </c>
      <c r="H456" t="s">
        <v>17</v>
      </c>
      <c r="I456" t="s">
        <v>25</v>
      </c>
      <c r="J456" t="s">
        <v>46</v>
      </c>
      <c r="K456" t="s">
        <v>20</v>
      </c>
      <c r="L456">
        <v>3824</v>
      </c>
      <c r="M456" t="s">
        <v>69</v>
      </c>
      <c r="N456">
        <v>2022</v>
      </c>
    </row>
    <row r="457" spans="1:14" x14ac:dyDescent="0.25">
      <c r="A457">
        <v>456</v>
      </c>
      <c r="B457">
        <v>44614</v>
      </c>
      <c r="C457" t="s">
        <v>13</v>
      </c>
      <c r="D457" t="s">
        <v>14</v>
      </c>
      <c r="E457" t="s">
        <v>47</v>
      </c>
      <c r="F457" t="s">
        <v>23</v>
      </c>
      <c r="G457">
        <v>0</v>
      </c>
      <c r="H457" t="s">
        <v>24</v>
      </c>
      <c r="I457" t="s">
        <v>53</v>
      </c>
      <c r="J457" t="s">
        <v>46</v>
      </c>
      <c r="K457" t="s">
        <v>52</v>
      </c>
      <c r="L457">
        <v>3419</v>
      </c>
      <c r="M457" t="s">
        <v>69</v>
      </c>
      <c r="N457">
        <v>2022</v>
      </c>
    </row>
    <row r="458" spans="1:14" x14ac:dyDescent="0.25">
      <c r="A458">
        <v>457</v>
      </c>
      <c r="B458">
        <v>44615</v>
      </c>
      <c r="C458" t="s">
        <v>28</v>
      </c>
      <c r="D458" t="s">
        <v>33</v>
      </c>
      <c r="E458" t="s">
        <v>47</v>
      </c>
      <c r="F458" t="s">
        <v>38</v>
      </c>
      <c r="G458">
        <v>4</v>
      </c>
      <c r="H458" t="s">
        <v>17</v>
      </c>
      <c r="I458" t="s">
        <v>25</v>
      </c>
      <c r="J458" t="s">
        <v>19</v>
      </c>
      <c r="K458" t="s">
        <v>43</v>
      </c>
      <c r="L458">
        <v>1594</v>
      </c>
      <c r="M458" t="s">
        <v>69</v>
      </c>
      <c r="N458">
        <v>2022</v>
      </c>
    </row>
    <row r="459" spans="1:14" x14ac:dyDescent="0.25">
      <c r="A459">
        <v>458</v>
      </c>
      <c r="B459">
        <v>44616</v>
      </c>
      <c r="C459" t="s">
        <v>51</v>
      </c>
      <c r="D459" t="s">
        <v>14</v>
      </c>
      <c r="E459" t="s">
        <v>47</v>
      </c>
      <c r="F459" t="s">
        <v>48</v>
      </c>
      <c r="G459">
        <v>4.5</v>
      </c>
      <c r="H459" t="s">
        <v>45</v>
      </c>
      <c r="I459" t="s">
        <v>25</v>
      </c>
      <c r="J459" t="s">
        <v>46</v>
      </c>
      <c r="K459" t="s">
        <v>59</v>
      </c>
      <c r="L459">
        <v>585</v>
      </c>
      <c r="M459" t="s">
        <v>69</v>
      </c>
      <c r="N459">
        <v>2022</v>
      </c>
    </row>
    <row r="460" spans="1:14" x14ac:dyDescent="0.25">
      <c r="A460">
        <v>459</v>
      </c>
      <c r="B460">
        <v>44616</v>
      </c>
      <c r="C460" t="s">
        <v>56</v>
      </c>
      <c r="D460" t="s">
        <v>14</v>
      </c>
      <c r="E460" t="s">
        <v>34</v>
      </c>
      <c r="F460" t="s">
        <v>16</v>
      </c>
      <c r="G460">
        <v>0</v>
      </c>
      <c r="H460" t="s">
        <v>55</v>
      </c>
      <c r="I460" t="s">
        <v>18</v>
      </c>
      <c r="J460" t="s">
        <v>46</v>
      </c>
      <c r="K460" t="s">
        <v>31</v>
      </c>
      <c r="L460">
        <v>0</v>
      </c>
      <c r="M460" t="s">
        <v>69</v>
      </c>
      <c r="N460">
        <v>2022</v>
      </c>
    </row>
    <row r="461" spans="1:14" x14ac:dyDescent="0.25">
      <c r="A461">
        <v>460</v>
      </c>
      <c r="B461">
        <v>44618</v>
      </c>
      <c r="C461" t="s">
        <v>13</v>
      </c>
      <c r="D461" t="s">
        <v>33</v>
      </c>
      <c r="E461" t="s">
        <v>15</v>
      </c>
      <c r="F461" t="s">
        <v>29</v>
      </c>
      <c r="G461">
        <v>0</v>
      </c>
      <c r="H461" t="s">
        <v>37</v>
      </c>
      <c r="I461" t="s">
        <v>53</v>
      </c>
      <c r="J461" t="s">
        <v>46</v>
      </c>
      <c r="K461" t="s">
        <v>43</v>
      </c>
      <c r="L461">
        <v>2793</v>
      </c>
      <c r="M461" t="s">
        <v>69</v>
      </c>
      <c r="N461">
        <v>2022</v>
      </c>
    </row>
    <row r="462" spans="1:14" x14ac:dyDescent="0.25">
      <c r="A462">
        <v>461</v>
      </c>
      <c r="B462">
        <v>44619</v>
      </c>
      <c r="C462" t="s">
        <v>13</v>
      </c>
      <c r="D462" t="s">
        <v>14</v>
      </c>
      <c r="E462" t="s">
        <v>34</v>
      </c>
      <c r="F462" t="s">
        <v>36</v>
      </c>
      <c r="G462">
        <v>0</v>
      </c>
      <c r="H462" t="s">
        <v>60</v>
      </c>
      <c r="I462" t="s">
        <v>39</v>
      </c>
      <c r="J462" t="s">
        <v>46</v>
      </c>
      <c r="K462" t="s">
        <v>52</v>
      </c>
      <c r="L462">
        <v>326</v>
      </c>
      <c r="M462" t="s">
        <v>69</v>
      </c>
      <c r="N462">
        <v>2022</v>
      </c>
    </row>
    <row r="463" spans="1:14" x14ac:dyDescent="0.25">
      <c r="A463">
        <v>462</v>
      </c>
      <c r="B463">
        <v>44620</v>
      </c>
      <c r="C463" t="s">
        <v>61</v>
      </c>
      <c r="D463" t="s">
        <v>14</v>
      </c>
      <c r="E463" t="s">
        <v>47</v>
      </c>
      <c r="F463" t="s">
        <v>35</v>
      </c>
      <c r="G463">
        <v>0</v>
      </c>
      <c r="H463" t="s">
        <v>57</v>
      </c>
      <c r="I463" t="s">
        <v>39</v>
      </c>
      <c r="J463" t="s">
        <v>46</v>
      </c>
      <c r="K463" t="s">
        <v>40</v>
      </c>
      <c r="L463">
        <v>314</v>
      </c>
      <c r="M463" t="s">
        <v>69</v>
      </c>
      <c r="N463">
        <v>2022</v>
      </c>
    </row>
    <row r="464" spans="1:14" x14ac:dyDescent="0.25">
      <c r="A464">
        <v>463</v>
      </c>
      <c r="B464">
        <v>44623</v>
      </c>
      <c r="C464" t="s">
        <v>41</v>
      </c>
      <c r="D464" t="s">
        <v>14</v>
      </c>
      <c r="E464" t="s">
        <v>34</v>
      </c>
      <c r="F464" t="s">
        <v>23</v>
      </c>
      <c r="G464">
        <v>3.5</v>
      </c>
      <c r="H464" t="s">
        <v>55</v>
      </c>
      <c r="I464" t="s">
        <v>25</v>
      </c>
      <c r="J464" t="s">
        <v>19</v>
      </c>
      <c r="K464" t="s">
        <v>54</v>
      </c>
      <c r="L464">
        <v>1769</v>
      </c>
      <c r="M464" t="s">
        <v>70</v>
      </c>
      <c r="N464">
        <v>2022</v>
      </c>
    </row>
    <row r="465" spans="1:14" x14ac:dyDescent="0.25">
      <c r="A465">
        <v>464</v>
      </c>
      <c r="B465">
        <v>44632</v>
      </c>
      <c r="C465" t="s">
        <v>58</v>
      </c>
      <c r="D465" t="s">
        <v>14</v>
      </c>
      <c r="E465" t="s">
        <v>34</v>
      </c>
      <c r="F465" t="s">
        <v>23</v>
      </c>
      <c r="G465">
        <v>0</v>
      </c>
      <c r="H465" t="s">
        <v>60</v>
      </c>
      <c r="I465" t="s">
        <v>18</v>
      </c>
      <c r="J465" t="s">
        <v>19</v>
      </c>
      <c r="K465" t="s">
        <v>40</v>
      </c>
      <c r="L465">
        <v>0</v>
      </c>
      <c r="M465" t="s">
        <v>70</v>
      </c>
      <c r="N465">
        <v>2022</v>
      </c>
    </row>
    <row r="466" spans="1:14" x14ac:dyDescent="0.25">
      <c r="A466">
        <v>465</v>
      </c>
      <c r="B466">
        <v>44632</v>
      </c>
      <c r="C466" t="s">
        <v>44</v>
      </c>
      <c r="D466" t="s">
        <v>14</v>
      </c>
      <c r="E466" t="s">
        <v>22</v>
      </c>
      <c r="F466" t="s">
        <v>62</v>
      </c>
      <c r="G466">
        <v>4</v>
      </c>
      <c r="H466" t="s">
        <v>24</v>
      </c>
      <c r="I466" t="s">
        <v>25</v>
      </c>
      <c r="J466" t="s">
        <v>19</v>
      </c>
      <c r="K466" t="s">
        <v>52</v>
      </c>
      <c r="L466">
        <v>3498</v>
      </c>
      <c r="M466" t="s">
        <v>70</v>
      </c>
      <c r="N466">
        <v>2022</v>
      </c>
    </row>
    <row r="467" spans="1:14" x14ac:dyDescent="0.25">
      <c r="A467">
        <v>466</v>
      </c>
      <c r="B467">
        <v>44635</v>
      </c>
      <c r="C467" t="s">
        <v>32</v>
      </c>
      <c r="D467" t="s">
        <v>14</v>
      </c>
      <c r="E467" t="s">
        <v>47</v>
      </c>
      <c r="F467" t="s">
        <v>38</v>
      </c>
      <c r="G467">
        <v>1.5</v>
      </c>
      <c r="H467" t="s">
        <v>55</v>
      </c>
      <c r="I467" t="s">
        <v>25</v>
      </c>
      <c r="J467" t="s">
        <v>26</v>
      </c>
      <c r="K467" t="s">
        <v>50</v>
      </c>
      <c r="L467">
        <v>2336</v>
      </c>
      <c r="M467" t="s">
        <v>70</v>
      </c>
      <c r="N467">
        <v>2022</v>
      </c>
    </row>
    <row r="468" spans="1:14" x14ac:dyDescent="0.25">
      <c r="A468">
        <v>467</v>
      </c>
      <c r="B468">
        <v>44637</v>
      </c>
      <c r="C468" t="s">
        <v>56</v>
      </c>
      <c r="D468" t="s">
        <v>14</v>
      </c>
      <c r="E468" t="s">
        <v>34</v>
      </c>
      <c r="F468" t="s">
        <v>29</v>
      </c>
      <c r="G468">
        <v>0</v>
      </c>
      <c r="H468" t="s">
        <v>60</v>
      </c>
      <c r="I468" t="s">
        <v>39</v>
      </c>
      <c r="J468" t="s">
        <v>46</v>
      </c>
      <c r="K468" t="s">
        <v>20</v>
      </c>
      <c r="L468">
        <v>114</v>
      </c>
      <c r="M468" t="s">
        <v>70</v>
      </c>
      <c r="N468">
        <v>2022</v>
      </c>
    </row>
    <row r="469" spans="1:14" x14ac:dyDescent="0.25">
      <c r="A469">
        <v>468</v>
      </c>
      <c r="B469">
        <v>44642</v>
      </c>
      <c r="C469" t="s">
        <v>61</v>
      </c>
      <c r="D469" t="s">
        <v>14</v>
      </c>
      <c r="E469" t="s">
        <v>47</v>
      </c>
      <c r="F469" t="s">
        <v>29</v>
      </c>
      <c r="G469">
        <v>0</v>
      </c>
      <c r="H469" t="s">
        <v>24</v>
      </c>
      <c r="I469" t="s">
        <v>39</v>
      </c>
      <c r="J469" t="s">
        <v>19</v>
      </c>
      <c r="K469" t="s">
        <v>54</v>
      </c>
      <c r="L469">
        <v>174</v>
      </c>
      <c r="M469" t="s">
        <v>70</v>
      </c>
      <c r="N469">
        <v>2022</v>
      </c>
    </row>
    <row r="470" spans="1:14" x14ac:dyDescent="0.25">
      <c r="A470">
        <v>469</v>
      </c>
      <c r="B470">
        <v>44642</v>
      </c>
      <c r="C470" t="s">
        <v>61</v>
      </c>
      <c r="D470" t="s">
        <v>14</v>
      </c>
      <c r="E470" t="s">
        <v>15</v>
      </c>
      <c r="F470" t="s">
        <v>63</v>
      </c>
      <c r="G470">
        <v>0</v>
      </c>
      <c r="H470" t="s">
        <v>45</v>
      </c>
      <c r="I470" t="s">
        <v>53</v>
      </c>
      <c r="J470" t="s">
        <v>46</v>
      </c>
      <c r="K470" t="s">
        <v>54</v>
      </c>
      <c r="L470">
        <v>3379</v>
      </c>
      <c r="M470" t="s">
        <v>70</v>
      </c>
      <c r="N470">
        <v>2022</v>
      </c>
    </row>
    <row r="471" spans="1:14" x14ac:dyDescent="0.25">
      <c r="A471">
        <v>470</v>
      </c>
      <c r="B471">
        <v>44645</v>
      </c>
      <c r="C471" t="s">
        <v>21</v>
      </c>
      <c r="D471" t="s">
        <v>14</v>
      </c>
      <c r="E471" t="s">
        <v>22</v>
      </c>
      <c r="F471" t="s">
        <v>63</v>
      </c>
      <c r="G471">
        <v>0.5</v>
      </c>
      <c r="H471" t="s">
        <v>37</v>
      </c>
      <c r="I471" t="s">
        <v>25</v>
      </c>
      <c r="J471" t="s">
        <v>19</v>
      </c>
      <c r="K471" t="s">
        <v>50</v>
      </c>
      <c r="L471">
        <v>4145</v>
      </c>
      <c r="M471" t="s">
        <v>70</v>
      </c>
      <c r="N471">
        <v>2022</v>
      </c>
    </row>
    <row r="472" spans="1:14" x14ac:dyDescent="0.25">
      <c r="A472">
        <v>471</v>
      </c>
      <c r="B472">
        <v>44646</v>
      </c>
      <c r="C472" t="s">
        <v>28</v>
      </c>
      <c r="D472" t="s">
        <v>14</v>
      </c>
      <c r="E472" t="s">
        <v>15</v>
      </c>
      <c r="F472" t="s">
        <v>63</v>
      </c>
      <c r="G472">
        <v>0</v>
      </c>
      <c r="H472" t="s">
        <v>55</v>
      </c>
      <c r="I472" t="s">
        <v>53</v>
      </c>
      <c r="J472" t="s">
        <v>26</v>
      </c>
      <c r="K472" t="s">
        <v>52</v>
      </c>
      <c r="L472">
        <v>4150</v>
      </c>
      <c r="M472" t="s">
        <v>70</v>
      </c>
      <c r="N472">
        <v>2022</v>
      </c>
    </row>
    <row r="473" spans="1:14" x14ac:dyDescent="0.25">
      <c r="A473">
        <v>472</v>
      </c>
      <c r="B473">
        <v>44648</v>
      </c>
      <c r="C473" t="s">
        <v>28</v>
      </c>
      <c r="D473" t="s">
        <v>14</v>
      </c>
      <c r="E473" t="s">
        <v>34</v>
      </c>
      <c r="F473" t="s">
        <v>48</v>
      </c>
      <c r="G473">
        <v>0</v>
      </c>
      <c r="H473" t="s">
        <v>57</v>
      </c>
      <c r="I473" t="s">
        <v>39</v>
      </c>
      <c r="J473" t="s">
        <v>46</v>
      </c>
      <c r="K473" t="s">
        <v>27</v>
      </c>
      <c r="L473">
        <v>259</v>
      </c>
      <c r="M473" t="s">
        <v>70</v>
      </c>
      <c r="N473">
        <v>2022</v>
      </c>
    </row>
    <row r="474" spans="1:14" x14ac:dyDescent="0.25">
      <c r="A474">
        <v>473</v>
      </c>
      <c r="B474">
        <v>44652</v>
      </c>
      <c r="C474" t="s">
        <v>61</v>
      </c>
      <c r="D474" t="s">
        <v>14</v>
      </c>
      <c r="E474" t="s">
        <v>15</v>
      </c>
      <c r="F474" t="s">
        <v>48</v>
      </c>
      <c r="G474">
        <v>3.5</v>
      </c>
      <c r="H474" t="s">
        <v>17</v>
      </c>
      <c r="I474" t="s">
        <v>25</v>
      </c>
      <c r="J474" t="s">
        <v>26</v>
      </c>
      <c r="K474" t="s">
        <v>52</v>
      </c>
      <c r="L474">
        <v>3134</v>
      </c>
      <c r="M474" t="s">
        <v>71</v>
      </c>
      <c r="N474">
        <v>2022</v>
      </c>
    </row>
    <row r="475" spans="1:14" x14ac:dyDescent="0.25">
      <c r="A475">
        <v>474</v>
      </c>
      <c r="B475">
        <v>44652</v>
      </c>
      <c r="C475" t="s">
        <v>28</v>
      </c>
      <c r="D475" t="s">
        <v>14</v>
      </c>
      <c r="E475" t="s">
        <v>47</v>
      </c>
      <c r="F475" t="s">
        <v>62</v>
      </c>
      <c r="G475">
        <v>0</v>
      </c>
      <c r="H475" t="s">
        <v>45</v>
      </c>
      <c r="I475" t="s">
        <v>53</v>
      </c>
      <c r="J475" t="s">
        <v>46</v>
      </c>
      <c r="K475" t="s">
        <v>20</v>
      </c>
      <c r="L475">
        <v>4130</v>
      </c>
      <c r="M475" t="s">
        <v>71</v>
      </c>
      <c r="N475">
        <v>2022</v>
      </c>
    </row>
    <row r="476" spans="1:14" x14ac:dyDescent="0.25">
      <c r="A476">
        <v>475</v>
      </c>
      <c r="B476">
        <v>44654</v>
      </c>
      <c r="C476" t="s">
        <v>32</v>
      </c>
      <c r="D476" t="s">
        <v>14</v>
      </c>
      <c r="E476" t="s">
        <v>47</v>
      </c>
      <c r="F476" t="s">
        <v>62</v>
      </c>
      <c r="G476">
        <v>3.5</v>
      </c>
      <c r="H476" t="s">
        <v>57</v>
      </c>
      <c r="I476" t="s">
        <v>25</v>
      </c>
      <c r="J476" t="s">
        <v>46</v>
      </c>
      <c r="K476" t="s">
        <v>40</v>
      </c>
      <c r="L476">
        <v>1424</v>
      </c>
      <c r="M476" t="s">
        <v>71</v>
      </c>
      <c r="N476">
        <v>2022</v>
      </c>
    </row>
    <row r="477" spans="1:14" x14ac:dyDescent="0.25">
      <c r="A477">
        <v>476</v>
      </c>
      <c r="B477">
        <v>44655</v>
      </c>
      <c r="C477" t="s">
        <v>56</v>
      </c>
      <c r="D477" t="s">
        <v>14</v>
      </c>
      <c r="E477" t="s">
        <v>34</v>
      </c>
      <c r="F477" t="s">
        <v>36</v>
      </c>
      <c r="G477">
        <v>2</v>
      </c>
      <c r="H477" t="s">
        <v>49</v>
      </c>
      <c r="I477" t="s">
        <v>25</v>
      </c>
      <c r="J477" t="s">
        <v>26</v>
      </c>
      <c r="K477" t="s">
        <v>50</v>
      </c>
      <c r="L477">
        <v>4908</v>
      </c>
      <c r="M477" t="s">
        <v>71</v>
      </c>
      <c r="N477">
        <v>2022</v>
      </c>
    </row>
    <row r="478" spans="1:14" x14ac:dyDescent="0.25">
      <c r="A478">
        <v>477</v>
      </c>
      <c r="B478">
        <v>44657</v>
      </c>
      <c r="C478" t="s">
        <v>56</v>
      </c>
      <c r="D478" t="s">
        <v>14</v>
      </c>
      <c r="E478" t="s">
        <v>15</v>
      </c>
      <c r="F478" t="s">
        <v>48</v>
      </c>
      <c r="G478">
        <v>0</v>
      </c>
      <c r="H478" t="s">
        <v>57</v>
      </c>
      <c r="I478" t="s">
        <v>39</v>
      </c>
      <c r="J478" t="s">
        <v>19</v>
      </c>
      <c r="K478" t="s">
        <v>54</v>
      </c>
      <c r="L478">
        <v>162</v>
      </c>
      <c r="M478" t="s">
        <v>71</v>
      </c>
      <c r="N478">
        <v>2022</v>
      </c>
    </row>
    <row r="479" spans="1:14" x14ac:dyDescent="0.25">
      <c r="A479">
        <v>478</v>
      </c>
      <c r="B479">
        <v>44658</v>
      </c>
      <c r="C479" t="s">
        <v>51</v>
      </c>
      <c r="D479" t="s">
        <v>14</v>
      </c>
      <c r="E479" t="s">
        <v>22</v>
      </c>
      <c r="F479" t="s">
        <v>48</v>
      </c>
      <c r="G479">
        <v>0</v>
      </c>
      <c r="H479" t="s">
        <v>49</v>
      </c>
      <c r="I479" t="s">
        <v>53</v>
      </c>
      <c r="J479" t="s">
        <v>26</v>
      </c>
      <c r="K479" t="s">
        <v>54</v>
      </c>
      <c r="L479">
        <v>4149</v>
      </c>
      <c r="M479" t="s">
        <v>71</v>
      </c>
      <c r="N479">
        <v>2022</v>
      </c>
    </row>
    <row r="480" spans="1:14" x14ac:dyDescent="0.25">
      <c r="A480">
        <v>479</v>
      </c>
      <c r="B480">
        <v>44658</v>
      </c>
      <c r="C480" t="s">
        <v>32</v>
      </c>
      <c r="D480" t="s">
        <v>14</v>
      </c>
      <c r="E480" t="s">
        <v>34</v>
      </c>
      <c r="F480" t="s">
        <v>62</v>
      </c>
      <c r="G480">
        <v>0</v>
      </c>
      <c r="H480" t="s">
        <v>49</v>
      </c>
      <c r="I480" t="s">
        <v>18</v>
      </c>
      <c r="J480" t="s">
        <v>46</v>
      </c>
      <c r="K480" t="s">
        <v>43</v>
      </c>
      <c r="L480">
        <v>0</v>
      </c>
      <c r="M480" t="s">
        <v>71</v>
      </c>
      <c r="N480">
        <v>2022</v>
      </c>
    </row>
    <row r="481" spans="1:14" x14ac:dyDescent="0.25">
      <c r="A481">
        <v>480</v>
      </c>
      <c r="B481">
        <v>44659</v>
      </c>
      <c r="C481" t="s">
        <v>51</v>
      </c>
      <c r="D481" t="s">
        <v>14</v>
      </c>
      <c r="E481" t="s">
        <v>47</v>
      </c>
      <c r="F481" t="s">
        <v>36</v>
      </c>
      <c r="G481">
        <v>0</v>
      </c>
      <c r="H481" t="s">
        <v>57</v>
      </c>
      <c r="I481" t="s">
        <v>18</v>
      </c>
      <c r="J481" t="s">
        <v>19</v>
      </c>
      <c r="K481" t="s">
        <v>50</v>
      </c>
      <c r="L481">
        <v>0</v>
      </c>
      <c r="M481" t="s">
        <v>71</v>
      </c>
      <c r="N481">
        <v>2022</v>
      </c>
    </row>
    <row r="482" spans="1:14" x14ac:dyDescent="0.25">
      <c r="A482">
        <v>481</v>
      </c>
      <c r="B482">
        <v>44659</v>
      </c>
      <c r="C482" t="s">
        <v>51</v>
      </c>
      <c r="D482" t="s">
        <v>14</v>
      </c>
      <c r="E482" t="s">
        <v>15</v>
      </c>
      <c r="F482" t="s">
        <v>63</v>
      </c>
      <c r="G482">
        <v>0</v>
      </c>
      <c r="H482" t="s">
        <v>37</v>
      </c>
      <c r="I482" t="s">
        <v>53</v>
      </c>
      <c r="J482" t="s">
        <v>19</v>
      </c>
      <c r="K482" t="s">
        <v>52</v>
      </c>
      <c r="L482">
        <v>1174</v>
      </c>
      <c r="M482" t="s">
        <v>71</v>
      </c>
      <c r="N482">
        <v>2022</v>
      </c>
    </row>
    <row r="483" spans="1:14" x14ac:dyDescent="0.25">
      <c r="A483">
        <v>482</v>
      </c>
      <c r="B483">
        <v>44663</v>
      </c>
      <c r="C483" t="s">
        <v>64</v>
      </c>
      <c r="D483" t="s">
        <v>14</v>
      </c>
      <c r="E483" t="s">
        <v>22</v>
      </c>
      <c r="F483" t="s">
        <v>16</v>
      </c>
      <c r="G483">
        <v>1.5</v>
      </c>
      <c r="H483" t="s">
        <v>45</v>
      </c>
      <c r="I483" t="s">
        <v>25</v>
      </c>
      <c r="J483" t="s">
        <v>19</v>
      </c>
      <c r="K483" t="s">
        <v>31</v>
      </c>
      <c r="L483">
        <v>1777</v>
      </c>
      <c r="M483" t="s">
        <v>71</v>
      </c>
      <c r="N483">
        <v>2022</v>
      </c>
    </row>
    <row r="484" spans="1:14" x14ac:dyDescent="0.25">
      <c r="A484">
        <v>483</v>
      </c>
      <c r="B484">
        <v>44668</v>
      </c>
      <c r="C484" t="s">
        <v>44</v>
      </c>
      <c r="D484" t="s">
        <v>14</v>
      </c>
      <c r="E484" t="s">
        <v>34</v>
      </c>
      <c r="F484" t="s">
        <v>35</v>
      </c>
      <c r="G484">
        <v>0</v>
      </c>
      <c r="H484" t="s">
        <v>57</v>
      </c>
      <c r="I484" t="s">
        <v>39</v>
      </c>
      <c r="J484" t="s">
        <v>26</v>
      </c>
      <c r="K484" t="s">
        <v>59</v>
      </c>
      <c r="L484">
        <v>59</v>
      </c>
      <c r="M484" t="s">
        <v>71</v>
      </c>
      <c r="N484">
        <v>2022</v>
      </c>
    </row>
    <row r="485" spans="1:14" x14ac:dyDescent="0.25">
      <c r="A485">
        <v>484</v>
      </c>
      <c r="B485">
        <v>44671</v>
      </c>
      <c r="C485" t="s">
        <v>51</v>
      </c>
      <c r="D485" t="s">
        <v>14</v>
      </c>
      <c r="E485" t="s">
        <v>47</v>
      </c>
      <c r="F485" t="s">
        <v>23</v>
      </c>
      <c r="G485">
        <v>0</v>
      </c>
      <c r="H485" t="s">
        <v>30</v>
      </c>
      <c r="I485" t="s">
        <v>18</v>
      </c>
      <c r="J485" t="s">
        <v>46</v>
      </c>
      <c r="K485" t="s">
        <v>50</v>
      </c>
      <c r="L485">
        <v>0</v>
      </c>
      <c r="M485" t="s">
        <v>71</v>
      </c>
      <c r="N485">
        <v>2022</v>
      </c>
    </row>
    <row r="486" spans="1:14" x14ac:dyDescent="0.25">
      <c r="A486">
        <v>485</v>
      </c>
      <c r="B486">
        <v>44675</v>
      </c>
      <c r="C486" t="s">
        <v>64</v>
      </c>
      <c r="D486" t="s">
        <v>14</v>
      </c>
      <c r="E486" t="s">
        <v>15</v>
      </c>
      <c r="F486" t="s">
        <v>38</v>
      </c>
      <c r="G486">
        <v>0</v>
      </c>
      <c r="H486" t="s">
        <v>24</v>
      </c>
      <c r="I486" t="s">
        <v>53</v>
      </c>
      <c r="J486" t="s">
        <v>19</v>
      </c>
      <c r="K486" t="s">
        <v>27</v>
      </c>
      <c r="L486">
        <v>1848</v>
      </c>
      <c r="M486" t="s">
        <v>71</v>
      </c>
      <c r="N486">
        <v>2022</v>
      </c>
    </row>
    <row r="487" spans="1:14" x14ac:dyDescent="0.25">
      <c r="A487">
        <v>486</v>
      </c>
      <c r="B487">
        <v>44675</v>
      </c>
      <c r="C487" t="s">
        <v>28</v>
      </c>
      <c r="D487" t="s">
        <v>14</v>
      </c>
      <c r="E487" t="s">
        <v>47</v>
      </c>
      <c r="F487" t="s">
        <v>63</v>
      </c>
      <c r="G487">
        <v>0</v>
      </c>
      <c r="H487" t="s">
        <v>17</v>
      </c>
      <c r="I487" t="s">
        <v>18</v>
      </c>
      <c r="J487" t="s">
        <v>26</v>
      </c>
      <c r="K487" t="s">
        <v>52</v>
      </c>
      <c r="L487">
        <v>0</v>
      </c>
      <c r="M487" t="s">
        <v>71</v>
      </c>
      <c r="N487">
        <v>2022</v>
      </c>
    </row>
    <row r="488" spans="1:14" x14ac:dyDescent="0.25">
      <c r="A488">
        <v>487</v>
      </c>
      <c r="B488">
        <v>44678</v>
      </c>
      <c r="C488" t="s">
        <v>44</v>
      </c>
      <c r="D488" t="s">
        <v>14</v>
      </c>
      <c r="E488" t="s">
        <v>22</v>
      </c>
      <c r="F488" t="s">
        <v>63</v>
      </c>
      <c r="G488">
        <v>0</v>
      </c>
      <c r="H488" t="s">
        <v>55</v>
      </c>
      <c r="I488" t="s">
        <v>53</v>
      </c>
      <c r="J488" t="s">
        <v>26</v>
      </c>
      <c r="K488" t="s">
        <v>31</v>
      </c>
      <c r="L488">
        <v>1696</v>
      </c>
      <c r="M488" t="s">
        <v>71</v>
      </c>
      <c r="N488">
        <v>2022</v>
      </c>
    </row>
    <row r="489" spans="1:14" x14ac:dyDescent="0.25">
      <c r="A489">
        <v>488</v>
      </c>
      <c r="B489">
        <v>44678</v>
      </c>
      <c r="C489" t="s">
        <v>21</v>
      </c>
      <c r="D489" t="s">
        <v>14</v>
      </c>
      <c r="E489" t="s">
        <v>42</v>
      </c>
      <c r="F489" t="s">
        <v>48</v>
      </c>
      <c r="G489">
        <v>0</v>
      </c>
      <c r="H489" t="s">
        <v>55</v>
      </c>
      <c r="I489" t="s">
        <v>39</v>
      </c>
      <c r="J489" t="s">
        <v>46</v>
      </c>
      <c r="K489" t="s">
        <v>40</v>
      </c>
      <c r="L489">
        <v>5</v>
      </c>
      <c r="M489" t="s">
        <v>71</v>
      </c>
      <c r="N489">
        <v>2022</v>
      </c>
    </row>
    <row r="490" spans="1:14" x14ac:dyDescent="0.25">
      <c r="A490">
        <v>489</v>
      </c>
      <c r="B490">
        <v>44680</v>
      </c>
      <c r="C490" t="s">
        <v>61</v>
      </c>
      <c r="D490" t="s">
        <v>14</v>
      </c>
      <c r="E490" t="s">
        <v>47</v>
      </c>
      <c r="F490" t="s">
        <v>63</v>
      </c>
      <c r="G490">
        <v>0</v>
      </c>
      <c r="H490" t="s">
        <v>37</v>
      </c>
      <c r="I490" t="s">
        <v>18</v>
      </c>
      <c r="J490" t="s">
        <v>46</v>
      </c>
      <c r="K490" t="s">
        <v>52</v>
      </c>
      <c r="L490">
        <v>0</v>
      </c>
      <c r="M490" t="s">
        <v>71</v>
      </c>
      <c r="N490">
        <v>2022</v>
      </c>
    </row>
    <row r="491" spans="1:14" x14ac:dyDescent="0.25">
      <c r="A491">
        <v>490</v>
      </c>
      <c r="B491">
        <v>44684</v>
      </c>
      <c r="C491" t="s">
        <v>56</v>
      </c>
      <c r="D491" t="s">
        <v>33</v>
      </c>
      <c r="E491" t="s">
        <v>15</v>
      </c>
      <c r="F491" t="s">
        <v>23</v>
      </c>
      <c r="G491">
        <v>0</v>
      </c>
      <c r="H491" t="s">
        <v>60</v>
      </c>
      <c r="I491" t="s">
        <v>53</v>
      </c>
      <c r="J491" t="s">
        <v>19</v>
      </c>
      <c r="K491" t="s">
        <v>31</v>
      </c>
      <c r="L491">
        <v>2795</v>
      </c>
      <c r="M491" t="s">
        <v>72</v>
      </c>
      <c r="N491">
        <v>2022</v>
      </c>
    </row>
    <row r="492" spans="1:14" x14ac:dyDescent="0.25">
      <c r="A492">
        <v>491</v>
      </c>
      <c r="B492">
        <v>44687</v>
      </c>
      <c r="C492" t="s">
        <v>61</v>
      </c>
      <c r="D492" t="s">
        <v>14</v>
      </c>
      <c r="E492" t="s">
        <v>15</v>
      </c>
      <c r="F492" t="s">
        <v>16</v>
      </c>
      <c r="G492">
        <v>0</v>
      </c>
      <c r="H492" t="s">
        <v>57</v>
      </c>
      <c r="I492" t="s">
        <v>18</v>
      </c>
      <c r="J492" t="s">
        <v>26</v>
      </c>
      <c r="K492" t="s">
        <v>27</v>
      </c>
      <c r="L492">
        <v>0</v>
      </c>
      <c r="M492" t="s">
        <v>72</v>
      </c>
      <c r="N492">
        <v>2022</v>
      </c>
    </row>
    <row r="493" spans="1:14" x14ac:dyDescent="0.25">
      <c r="A493">
        <v>492</v>
      </c>
      <c r="B493">
        <v>44688</v>
      </c>
      <c r="C493" t="s">
        <v>58</v>
      </c>
      <c r="D493" t="s">
        <v>14</v>
      </c>
      <c r="E493" t="s">
        <v>47</v>
      </c>
      <c r="F493" t="s">
        <v>23</v>
      </c>
      <c r="G493">
        <v>0</v>
      </c>
      <c r="H493" t="s">
        <v>24</v>
      </c>
      <c r="I493" t="s">
        <v>18</v>
      </c>
      <c r="J493" t="s">
        <v>19</v>
      </c>
      <c r="K493" t="s">
        <v>59</v>
      </c>
      <c r="L493">
        <v>0</v>
      </c>
      <c r="M493" t="s">
        <v>72</v>
      </c>
      <c r="N493">
        <v>2022</v>
      </c>
    </row>
    <row r="494" spans="1:14" x14ac:dyDescent="0.25">
      <c r="A494">
        <v>493</v>
      </c>
      <c r="B494">
        <v>44689</v>
      </c>
      <c r="C494" t="s">
        <v>28</v>
      </c>
      <c r="D494" t="s">
        <v>14</v>
      </c>
      <c r="E494" t="s">
        <v>15</v>
      </c>
      <c r="F494" t="s">
        <v>63</v>
      </c>
      <c r="G494">
        <v>0</v>
      </c>
      <c r="H494" t="s">
        <v>57</v>
      </c>
      <c r="I494" t="s">
        <v>39</v>
      </c>
      <c r="J494" t="s">
        <v>26</v>
      </c>
      <c r="K494" t="s">
        <v>52</v>
      </c>
      <c r="L494">
        <v>277</v>
      </c>
      <c r="M494" t="s">
        <v>72</v>
      </c>
      <c r="N494">
        <v>2022</v>
      </c>
    </row>
    <row r="495" spans="1:14" x14ac:dyDescent="0.25">
      <c r="A495">
        <v>494</v>
      </c>
      <c r="B495">
        <v>44692</v>
      </c>
      <c r="C495" t="s">
        <v>28</v>
      </c>
      <c r="D495" t="s">
        <v>14</v>
      </c>
      <c r="E495" t="s">
        <v>47</v>
      </c>
      <c r="F495" t="s">
        <v>48</v>
      </c>
      <c r="G495">
        <v>0</v>
      </c>
      <c r="H495" t="s">
        <v>17</v>
      </c>
      <c r="I495" t="s">
        <v>39</v>
      </c>
      <c r="J495" t="s">
        <v>19</v>
      </c>
      <c r="K495" t="s">
        <v>40</v>
      </c>
      <c r="L495">
        <v>189</v>
      </c>
      <c r="M495" t="s">
        <v>72</v>
      </c>
      <c r="N495">
        <v>2022</v>
      </c>
    </row>
    <row r="496" spans="1:14" x14ac:dyDescent="0.25">
      <c r="A496">
        <v>495</v>
      </c>
      <c r="B496">
        <v>44697</v>
      </c>
      <c r="C496" t="s">
        <v>61</v>
      </c>
      <c r="D496" t="s">
        <v>14</v>
      </c>
      <c r="E496" t="s">
        <v>34</v>
      </c>
      <c r="F496" t="s">
        <v>35</v>
      </c>
      <c r="G496">
        <v>2.5</v>
      </c>
      <c r="H496" t="s">
        <v>49</v>
      </c>
      <c r="I496" t="s">
        <v>25</v>
      </c>
      <c r="J496" t="s">
        <v>46</v>
      </c>
      <c r="K496" t="s">
        <v>50</v>
      </c>
      <c r="L496">
        <v>4563</v>
      </c>
      <c r="M496" t="s">
        <v>72</v>
      </c>
      <c r="N496">
        <v>2022</v>
      </c>
    </row>
    <row r="497" spans="1:14" x14ac:dyDescent="0.25">
      <c r="A497">
        <v>496</v>
      </c>
      <c r="B497">
        <v>44698</v>
      </c>
      <c r="C497" t="s">
        <v>61</v>
      </c>
      <c r="D497" t="s">
        <v>14</v>
      </c>
      <c r="E497" t="s">
        <v>15</v>
      </c>
      <c r="F497" t="s">
        <v>62</v>
      </c>
      <c r="G497">
        <v>0</v>
      </c>
      <c r="H497" t="s">
        <v>57</v>
      </c>
      <c r="I497" t="s">
        <v>39</v>
      </c>
      <c r="J497" t="s">
        <v>19</v>
      </c>
      <c r="K497" t="s">
        <v>31</v>
      </c>
      <c r="L497">
        <v>341</v>
      </c>
      <c r="M497" t="s">
        <v>72</v>
      </c>
      <c r="N497">
        <v>2022</v>
      </c>
    </row>
    <row r="498" spans="1:14" x14ac:dyDescent="0.25">
      <c r="A498">
        <v>497</v>
      </c>
      <c r="B498">
        <v>44700</v>
      </c>
      <c r="C498" t="s">
        <v>44</v>
      </c>
      <c r="D498" t="s">
        <v>14</v>
      </c>
      <c r="E498" t="s">
        <v>15</v>
      </c>
      <c r="F498" t="s">
        <v>29</v>
      </c>
      <c r="G498">
        <v>0</v>
      </c>
      <c r="H498" t="s">
        <v>30</v>
      </c>
      <c r="I498" t="s">
        <v>18</v>
      </c>
      <c r="J498" t="s">
        <v>26</v>
      </c>
      <c r="K498" t="s">
        <v>54</v>
      </c>
      <c r="L498">
        <v>0</v>
      </c>
      <c r="M498" t="s">
        <v>72</v>
      </c>
      <c r="N498">
        <v>2022</v>
      </c>
    </row>
    <row r="499" spans="1:14" x14ac:dyDescent="0.25">
      <c r="A499">
        <v>498</v>
      </c>
      <c r="B499">
        <v>44704</v>
      </c>
      <c r="C499" t="s">
        <v>21</v>
      </c>
      <c r="D499" t="s">
        <v>14</v>
      </c>
      <c r="E499" t="s">
        <v>15</v>
      </c>
      <c r="F499" t="s">
        <v>16</v>
      </c>
      <c r="G499">
        <v>0</v>
      </c>
      <c r="H499" t="s">
        <v>49</v>
      </c>
      <c r="I499" t="s">
        <v>53</v>
      </c>
      <c r="J499" t="s">
        <v>26</v>
      </c>
      <c r="K499" t="s">
        <v>59</v>
      </c>
      <c r="L499">
        <v>1824</v>
      </c>
      <c r="M499" t="s">
        <v>72</v>
      </c>
      <c r="N499">
        <v>2022</v>
      </c>
    </row>
    <row r="500" spans="1:14" x14ac:dyDescent="0.25">
      <c r="A500">
        <v>499</v>
      </c>
      <c r="B500">
        <v>44707</v>
      </c>
      <c r="C500" t="s">
        <v>13</v>
      </c>
      <c r="D500" t="s">
        <v>14</v>
      </c>
      <c r="E500" t="s">
        <v>47</v>
      </c>
      <c r="F500" t="s">
        <v>29</v>
      </c>
      <c r="G500">
        <v>0</v>
      </c>
      <c r="H500" t="s">
        <v>49</v>
      </c>
      <c r="I500" t="s">
        <v>53</v>
      </c>
      <c r="J500" t="s">
        <v>46</v>
      </c>
      <c r="K500" t="s">
        <v>27</v>
      </c>
      <c r="L500">
        <v>1643</v>
      </c>
      <c r="M500" t="s">
        <v>72</v>
      </c>
      <c r="N500">
        <v>2022</v>
      </c>
    </row>
    <row r="501" spans="1:14" x14ac:dyDescent="0.25">
      <c r="A501">
        <v>500</v>
      </c>
      <c r="B501">
        <v>44708</v>
      </c>
      <c r="C501" t="s">
        <v>28</v>
      </c>
      <c r="D501" t="s">
        <v>14</v>
      </c>
      <c r="E501" t="s">
        <v>47</v>
      </c>
      <c r="F501" t="s">
        <v>62</v>
      </c>
      <c r="G501">
        <v>0</v>
      </c>
      <c r="H501" t="s">
        <v>30</v>
      </c>
      <c r="I501" t="s">
        <v>39</v>
      </c>
      <c r="J501" t="s">
        <v>19</v>
      </c>
      <c r="K501" t="s">
        <v>31</v>
      </c>
      <c r="L501">
        <v>115</v>
      </c>
      <c r="M501" t="s">
        <v>72</v>
      </c>
      <c r="N501">
        <v>2022</v>
      </c>
    </row>
    <row r="502" spans="1:14" x14ac:dyDescent="0.25">
      <c r="A502">
        <v>501</v>
      </c>
      <c r="B502">
        <v>44711</v>
      </c>
      <c r="C502" t="s">
        <v>44</v>
      </c>
      <c r="D502" t="s">
        <v>14</v>
      </c>
      <c r="E502" t="s">
        <v>47</v>
      </c>
      <c r="F502" t="s">
        <v>16</v>
      </c>
      <c r="G502">
        <v>1</v>
      </c>
      <c r="H502" t="s">
        <v>60</v>
      </c>
      <c r="I502" t="s">
        <v>25</v>
      </c>
      <c r="J502" t="s">
        <v>46</v>
      </c>
      <c r="K502" t="s">
        <v>20</v>
      </c>
      <c r="L502">
        <v>1449</v>
      </c>
      <c r="M502" t="s">
        <v>72</v>
      </c>
      <c r="N502">
        <v>2022</v>
      </c>
    </row>
    <row r="503" spans="1:14" x14ac:dyDescent="0.25">
      <c r="A503">
        <v>502</v>
      </c>
      <c r="B503">
        <v>44712</v>
      </c>
      <c r="C503" t="s">
        <v>44</v>
      </c>
      <c r="D503" t="s">
        <v>14</v>
      </c>
      <c r="E503" t="s">
        <v>15</v>
      </c>
      <c r="F503" t="s">
        <v>48</v>
      </c>
      <c r="G503">
        <v>0</v>
      </c>
      <c r="H503" t="s">
        <v>45</v>
      </c>
      <c r="I503" t="s">
        <v>53</v>
      </c>
      <c r="J503" t="s">
        <v>19</v>
      </c>
      <c r="K503" t="s">
        <v>20</v>
      </c>
      <c r="L503">
        <v>2764</v>
      </c>
      <c r="M503" t="s">
        <v>72</v>
      </c>
      <c r="N503">
        <v>2022</v>
      </c>
    </row>
    <row r="504" spans="1:14" x14ac:dyDescent="0.25">
      <c r="A504">
        <v>503</v>
      </c>
      <c r="B504">
        <v>44715</v>
      </c>
      <c r="C504" t="s">
        <v>56</v>
      </c>
      <c r="D504" t="s">
        <v>14</v>
      </c>
      <c r="E504" t="s">
        <v>34</v>
      </c>
      <c r="F504" t="s">
        <v>36</v>
      </c>
      <c r="G504">
        <v>0</v>
      </c>
      <c r="H504" t="s">
        <v>24</v>
      </c>
      <c r="I504" t="s">
        <v>18</v>
      </c>
      <c r="J504" t="s">
        <v>19</v>
      </c>
      <c r="K504" t="s">
        <v>50</v>
      </c>
      <c r="L504">
        <v>0</v>
      </c>
      <c r="M504" t="s">
        <v>73</v>
      </c>
      <c r="N504">
        <v>2022</v>
      </c>
    </row>
    <row r="505" spans="1:14" x14ac:dyDescent="0.25">
      <c r="A505">
        <v>504</v>
      </c>
      <c r="B505">
        <v>44715</v>
      </c>
      <c r="C505" t="s">
        <v>65</v>
      </c>
      <c r="D505" t="s">
        <v>14</v>
      </c>
      <c r="E505" t="s">
        <v>34</v>
      </c>
      <c r="F505" t="s">
        <v>62</v>
      </c>
      <c r="G505">
        <v>0</v>
      </c>
      <c r="H505" t="s">
        <v>45</v>
      </c>
      <c r="I505" t="s">
        <v>39</v>
      </c>
      <c r="J505" t="s">
        <v>26</v>
      </c>
      <c r="K505" t="s">
        <v>50</v>
      </c>
      <c r="L505">
        <v>67</v>
      </c>
      <c r="M505" t="s">
        <v>73</v>
      </c>
      <c r="N505">
        <v>2022</v>
      </c>
    </row>
    <row r="506" spans="1:14" x14ac:dyDescent="0.25">
      <c r="A506">
        <v>505</v>
      </c>
      <c r="B506">
        <v>44715</v>
      </c>
      <c r="C506" t="s">
        <v>32</v>
      </c>
      <c r="D506" t="s">
        <v>14</v>
      </c>
      <c r="E506" t="s">
        <v>47</v>
      </c>
      <c r="F506" t="s">
        <v>16</v>
      </c>
      <c r="G506">
        <v>0</v>
      </c>
      <c r="H506" t="s">
        <v>30</v>
      </c>
      <c r="I506" t="s">
        <v>53</v>
      </c>
      <c r="J506" t="s">
        <v>19</v>
      </c>
      <c r="K506" t="s">
        <v>54</v>
      </c>
      <c r="L506">
        <v>4639</v>
      </c>
      <c r="M506" t="s">
        <v>73</v>
      </c>
      <c r="N506">
        <v>2022</v>
      </c>
    </row>
    <row r="507" spans="1:14" x14ac:dyDescent="0.25">
      <c r="A507">
        <v>506</v>
      </c>
      <c r="B507">
        <v>44717</v>
      </c>
      <c r="C507" t="s">
        <v>56</v>
      </c>
      <c r="D507" t="s">
        <v>14</v>
      </c>
      <c r="E507" t="s">
        <v>34</v>
      </c>
      <c r="F507" t="s">
        <v>63</v>
      </c>
      <c r="G507">
        <v>0</v>
      </c>
      <c r="H507" t="s">
        <v>17</v>
      </c>
      <c r="I507" t="s">
        <v>18</v>
      </c>
      <c r="J507" t="s">
        <v>26</v>
      </c>
      <c r="K507" t="s">
        <v>43</v>
      </c>
      <c r="L507">
        <v>0</v>
      </c>
      <c r="M507" t="s">
        <v>73</v>
      </c>
      <c r="N507">
        <v>2022</v>
      </c>
    </row>
    <row r="508" spans="1:14" x14ac:dyDescent="0.25">
      <c r="A508">
        <v>507</v>
      </c>
      <c r="B508">
        <v>44719</v>
      </c>
      <c r="C508" t="s">
        <v>64</v>
      </c>
      <c r="D508" t="s">
        <v>14</v>
      </c>
      <c r="E508" t="s">
        <v>42</v>
      </c>
      <c r="F508" t="s">
        <v>38</v>
      </c>
      <c r="G508">
        <v>0</v>
      </c>
      <c r="H508" t="s">
        <v>45</v>
      </c>
      <c r="I508" t="s">
        <v>18</v>
      </c>
      <c r="J508" t="s">
        <v>26</v>
      </c>
      <c r="K508" t="s">
        <v>52</v>
      </c>
      <c r="L508">
        <v>0</v>
      </c>
      <c r="M508" t="s">
        <v>73</v>
      </c>
      <c r="N508">
        <v>2022</v>
      </c>
    </row>
    <row r="509" spans="1:14" x14ac:dyDescent="0.25">
      <c r="A509">
        <v>508</v>
      </c>
      <c r="B509">
        <v>44722</v>
      </c>
      <c r="C509" t="s">
        <v>13</v>
      </c>
      <c r="D509" t="s">
        <v>33</v>
      </c>
      <c r="E509" t="s">
        <v>15</v>
      </c>
      <c r="F509" t="s">
        <v>63</v>
      </c>
      <c r="G509">
        <v>0</v>
      </c>
      <c r="H509" t="s">
        <v>49</v>
      </c>
      <c r="I509" t="s">
        <v>53</v>
      </c>
      <c r="J509" t="s">
        <v>26</v>
      </c>
      <c r="K509" t="s">
        <v>31</v>
      </c>
      <c r="L509">
        <v>2356</v>
      </c>
      <c r="M509" t="s">
        <v>73</v>
      </c>
      <c r="N509">
        <v>2022</v>
      </c>
    </row>
    <row r="510" spans="1:14" x14ac:dyDescent="0.25">
      <c r="A510">
        <v>509</v>
      </c>
      <c r="B510">
        <v>44737</v>
      </c>
      <c r="C510" t="s">
        <v>44</v>
      </c>
      <c r="D510" t="s">
        <v>14</v>
      </c>
      <c r="E510" t="s">
        <v>15</v>
      </c>
      <c r="F510" t="s">
        <v>16</v>
      </c>
      <c r="G510">
        <v>0</v>
      </c>
      <c r="H510" t="s">
        <v>17</v>
      </c>
      <c r="I510" t="s">
        <v>53</v>
      </c>
      <c r="J510" t="s">
        <v>26</v>
      </c>
      <c r="K510" t="s">
        <v>43</v>
      </c>
      <c r="L510">
        <v>2184</v>
      </c>
      <c r="M510" t="s">
        <v>73</v>
      </c>
      <c r="N510">
        <v>2022</v>
      </c>
    </row>
    <row r="511" spans="1:14" x14ac:dyDescent="0.25">
      <c r="A511">
        <v>510</v>
      </c>
      <c r="B511">
        <v>44738</v>
      </c>
      <c r="C511" t="s">
        <v>61</v>
      </c>
      <c r="D511" t="s">
        <v>33</v>
      </c>
      <c r="E511" t="s">
        <v>15</v>
      </c>
      <c r="F511" t="s">
        <v>38</v>
      </c>
      <c r="G511">
        <v>0</v>
      </c>
      <c r="H511" t="s">
        <v>45</v>
      </c>
      <c r="I511" t="s">
        <v>39</v>
      </c>
      <c r="J511" t="s">
        <v>46</v>
      </c>
      <c r="K511" t="s">
        <v>31</v>
      </c>
      <c r="L511">
        <v>77</v>
      </c>
      <c r="M511" t="s">
        <v>73</v>
      </c>
      <c r="N511">
        <v>2022</v>
      </c>
    </row>
    <row r="512" spans="1:14" x14ac:dyDescent="0.25">
      <c r="A512">
        <v>511</v>
      </c>
      <c r="B512">
        <v>44739</v>
      </c>
      <c r="C512" t="s">
        <v>58</v>
      </c>
      <c r="D512" t="s">
        <v>14</v>
      </c>
      <c r="E512" t="s">
        <v>34</v>
      </c>
      <c r="F512" t="s">
        <v>36</v>
      </c>
      <c r="G512">
        <v>0</v>
      </c>
      <c r="H512" t="s">
        <v>49</v>
      </c>
      <c r="I512" t="s">
        <v>18</v>
      </c>
      <c r="J512" t="s">
        <v>19</v>
      </c>
      <c r="K512" t="s">
        <v>59</v>
      </c>
      <c r="L512">
        <v>0</v>
      </c>
      <c r="M512" t="s">
        <v>73</v>
      </c>
      <c r="N512">
        <v>2022</v>
      </c>
    </row>
    <row r="513" spans="1:14" x14ac:dyDescent="0.25">
      <c r="A513">
        <v>512</v>
      </c>
      <c r="B513">
        <v>44740</v>
      </c>
      <c r="C513" t="s">
        <v>58</v>
      </c>
      <c r="D513" t="s">
        <v>14</v>
      </c>
      <c r="E513" t="s">
        <v>47</v>
      </c>
      <c r="F513" t="s">
        <v>29</v>
      </c>
      <c r="G513">
        <v>0</v>
      </c>
      <c r="H513" t="s">
        <v>49</v>
      </c>
      <c r="I513" t="s">
        <v>18</v>
      </c>
      <c r="J513" t="s">
        <v>19</v>
      </c>
      <c r="K513" t="s">
        <v>43</v>
      </c>
      <c r="L513">
        <v>0</v>
      </c>
      <c r="M513" t="s">
        <v>73</v>
      </c>
      <c r="N513">
        <v>2022</v>
      </c>
    </row>
    <row r="514" spans="1:14" x14ac:dyDescent="0.25">
      <c r="A514">
        <v>513</v>
      </c>
      <c r="B514">
        <v>44740</v>
      </c>
      <c r="C514" t="s">
        <v>65</v>
      </c>
      <c r="D514" t="s">
        <v>14</v>
      </c>
      <c r="E514" t="s">
        <v>34</v>
      </c>
      <c r="F514" t="s">
        <v>35</v>
      </c>
      <c r="G514">
        <v>0</v>
      </c>
      <c r="H514" t="s">
        <v>49</v>
      </c>
      <c r="I514" t="s">
        <v>53</v>
      </c>
      <c r="J514" t="s">
        <v>46</v>
      </c>
      <c r="K514" t="s">
        <v>31</v>
      </c>
      <c r="L514">
        <v>804</v>
      </c>
      <c r="M514" t="s">
        <v>73</v>
      </c>
      <c r="N514">
        <v>2022</v>
      </c>
    </row>
    <row r="515" spans="1:14" x14ac:dyDescent="0.25">
      <c r="A515">
        <v>514</v>
      </c>
      <c r="B515">
        <v>44740</v>
      </c>
      <c r="C515" t="s">
        <v>58</v>
      </c>
      <c r="D515" t="s">
        <v>14</v>
      </c>
      <c r="E515" t="s">
        <v>47</v>
      </c>
      <c r="F515" t="s">
        <v>23</v>
      </c>
      <c r="G515">
        <v>0</v>
      </c>
      <c r="H515" t="s">
        <v>55</v>
      </c>
      <c r="I515" t="s">
        <v>53</v>
      </c>
      <c r="J515" t="s">
        <v>19</v>
      </c>
      <c r="K515" t="s">
        <v>59</v>
      </c>
      <c r="L515">
        <v>706</v>
      </c>
      <c r="M515" t="s">
        <v>73</v>
      </c>
      <c r="N515">
        <v>2022</v>
      </c>
    </row>
    <row r="516" spans="1:14" x14ac:dyDescent="0.25">
      <c r="A516">
        <v>514</v>
      </c>
      <c r="L516">
        <v>717795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SafetyData</vt:lpstr>
      <vt:lpstr>PIVOT</vt:lpstr>
      <vt:lpstr>SLICERS</vt:lpstr>
      <vt:lpstr>DASHBOARD</vt:lpstr>
      <vt:lpstr>Working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2026-04-27T13:30:54Z</dcterms:created>
  <dcterms:modified xsi:type="dcterms:W3CDTF">2026-05-21T09:28:49Z</dcterms:modified>
</cp:coreProperties>
</file>